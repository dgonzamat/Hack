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02:09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229680.0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229680.0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$ 9.513.532.800</t>
        </is>
      </c>
    </row>
    <row r="14">
      <c r="A14" s="2" t="inlineStr">
        <is>
          <t>GG + Utilidad (25%):</t>
        </is>
      </c>
      <c r="B14" t="inlineStr">
        <is>
          <t>$ 2.378.383.200</t>
        </is>
      </c>
    </row>
    <row r="15">
      <c r="A15" s="2" t="inlineStr">
        <is>
          <t>Subtotal + GG&amp;U:</t>
        </is>
      </c>
      <c r="B15" t="inlineStr">
        <is>
          <t>$ 11.891.916.000</t>
        </is>
      </c>
    </row>
    <row r="16">
      <c r="A16" s="2" t="inlineStr">
        <is>
          <t>IVA (19%):</t>
        </is>
      </c>
      <c r="B16" t="inlineStr">
        <is>
          <t>$ 2.259.464.040</t>
        </is>
      </c>
    </row>
    <row r="17">
      <c r="A17" s="3" t="inlineStr">
        <is>
          <t>TOTAL CON IVA:</t>
        </is>
      </c>
      <c r="B17" s="4" t="inlineStr">
        <is>
          <t>$ 14.151.380.040 CLP</t>
        </is>
      </c>
    </row>
    <row r="18">
      <c r="A18" s="2" t="inlineStr">
        <is>
          <t>Costo por m²:</t>
        </is>
      </c>
      <c r="B18" t="inlineStr">
        <is>
          <t>$ 61.613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CALZADA PRINCIPAL</t>
        </is>
      </c>
      <c r="C2" t="inlineStr">
        <is>
          <t>vial</t>
        </is>
      </c>
      <c r="D2" t="n">
        <v>195300</v>
      </c>
      <c r="E2" t="n">
        <v>42018.6</v>
      </c>
      <c r="F2" t="n">
        <v>0.92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CUNETA REVESTIDA HORMIGON</t>
        </is>
      </c>
      <c r="C3" t="inlineStr">
        <is>
          <t>vial</t>
        </is>
      </c>
      <c r="D3" t="n">
        <v>25200</v>
      </c>
      <c r="E3" t="n">
        <v>648.0700000000001</v>
      </c>
      <c r="F3" t="n">
        <v>0.88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MIRADOR CALZADA KM210</t>
        </is>
      </c>
      <c r="C4" t="inlineStr">
        <is>
          <t>vial</t>
        </is>
      </c>
      <c r="D4" t="n">
        <v>480</v>
      </c>
      <c r="E4" t="n">
        <v>89.44</v>
      </c>
      <c r="F4" t="n">
        <v>0.75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MIRADOR CALZADA KM213</t>
        </is>
      </c>
      <c r="C5" t="inlineStr">
        <is>
          <t>vial</t>
        </is>
      </c>
      <c r="D5" t="n">
        <v>480</v>
      </c>
      <c r="E5" t="n">
        <v>89.44</v>
      </c>
      <c r="F5" t="n">
        <v>0.75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MURO DE CONTENCION HORMIGON</t>
        </is>
      </c>
      <c r="C6" t="inlineStr">
        <is>
          <t>vial</t>
        </is>
      </c>
      <c r="D6" t="n">
        <v>4500</v>
      </c>
      <c r="E6" t="n">
        <v>273.86</v>
      </c>
      <c r="F6" t="n">
        <v>0.85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SOBREANCHO CURVAS PISTA</t>
        </is>
      </c>
      <c r="C7" t="inlineStr">
        <is>
          <t>vial</t>
        </is>
      </c>
      <c r="D7" t="n">
        <v>2100</v>
      </c>
      <c r="E7" t="n">
        <v>187.08</v>
      </c>
      <c r="F7" t="n">
        <v>0.8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TUNEL GALLEGUILLOS</t>
        </is>
      </c>
      <c r="C8" t="inlineStr">
        <is>
          <t>vial</t>
        </is>
      </c>
      <c r="D8" t="n">
        <v>1620</v>
      </c>
      <c r="E8" t="n">
        <v>378</v>
      </c>
      <c r="F8" t="n">
        <v>0.9</v>
      </c>
      <c r="G8" t="inlineStr">
        <is>
          <t>✓</t>
        </is>
      </c>
    </row>
    <row r="9">
      <c r="A9" s="3" t="inlineStr">
        <is>
          <t>Subtotal Ruta 1</t>
        </is>
      </c>
      <c r="D9" s="3" t="n">
        <v>229680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198360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198360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198360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excavacion_tierra_comun</t>
        </is>
      </c>
      <c r="B7" t="inlineStr">
        <is>
          <t>Excavacion tierra comun</t>
        </is>
      </c>
      <c r="C7" t="inlineStr">
        <is>
          <t>m3</t>
        </is>
      </c>
      <c r="D7" t="n">
        <v>91245.60000000001</v>
      </c>
      <c r="E7" t="n">
        <v>8000</v>
      </c>
      <c r="F7">
        <f>D7*E7</f>
        <v/>
      </c>
      <c r="G7" t="inlineStr">
        <is>
          <t>ONDAC 2026Q1</t>
        </is>
      </c>
    </row>
    <row r="8">
      <c r="A8" t="inlineStr">
        <is>
          <t>cuneta_hormigon_revestida</t>
        </is>
      </c>
      <c r="B8" t="inlineStr">
        <is>
          <t>Cuneta hormigon revestida a=0.60m</t>
        </is>
      </c>
      <c r="C8" t="inlineStr">
        <is>
          <t>ml</t>
        </is>
      </c>
      <c r="D8" t="n">
        <v>42000</v>
      </c>
      <c r="E8" t="n">
        <v>45000</v>
      </c>
      <c r="F8">
        <f>D8*E8</f>
        <v/>
      </c>
      <c r="G8" t="inlineStr">
        <is>
          <t>ONDAC 2026Q1</t>
        </is>
      </c>
    </row>
    <row r="9">
      <c r="A9" t="inlineStr">
        <is>
          <t>excavacion_tunel_roca</t>
        </is>
      </c>
      <c r="B9" t="inlineStr">
        <is>
          <t>Excavacion tunel 9.0×6.0 m</t>
        </is>
      </c>
      <c r="C9" t="inlineStr">
        <is>
          <t>m3</t>
        </is>
      </c>
      <c r="D9" t="n">
        <v>9720</v>
      </c>
      <c r="E9" t="n">
        <v>85000</v>
      </c>
      <c r="F9">
        <f>D9*E9</f>
        <v/>
      </c>
      <c r="G9" t="inlineStr">
        <is>
          <t>ONDAC 2026Q1</t>
        </is>
      </c>
    </row>
    <row r="10">
      <c r="A10" t="inlineStr">
        <is>
          <t>revestimiento_tunel_hormigon</t>
        </is>
      </c>
      <c r="B10" t="inlineStr">
        <is>
          <t>Revestimiento tunel hormigon e=45cm</t>
        </is>
      </c>
      <c r="C10" t="inlineStr">
        <is>
          <t>m2</t>
        </is>
      </c>
      <c r="D10" t="n">
        <v>5400</v>
      </c>
      <c r="E10" t="n">
        <v>120000</v>
      </c>
      <c r="F10">
        <f>D10*E10</f>
        <v/>
      </c>
      <c r="G10" t="inlineStr">
        <is>
          <t>ONDAC 2026Q1</t>
        </is>
      </c>
    </row>
    <row r="11">
      <c r="A11" t="inlineStr">
        <is>
          <t>acero_refuerzo_a630</t>
        </is>
      </c>
      <c r="B11" t="inlineStr">
        <is>
          <t>Acero refuerzo A630-42H</t>
        </is>
      </c>
      <c r="C11" t="inlineStr">
        <is>
          <t>kg</t>
        </is>
      </c>
      <c r="D11" t="n">
        <v>388800</v>
      </c>
      <c r="E11" t="n">
        <v>1200</v>
      </c>
      <c r="F11">
        <f>D11*E11</f>
        <v/>
      </c>
      <c r="G11" t="inlineStr">
        <is>
          <t>ONDAC 2026Q1</t>
        </is>
      </c>
    </row>
    <row r="12">
      <c r="A12" t="inlineStr">
        <is>
          <t>muro_contencion_hormigon</t>
        </is>
      </c>
      <c r="B12" t="inlineStr">
        <is>
          <t>Muro de contencion hormigon e=45cm</t>
        </is>
      </c>
      <c r="C12" t="inlineStr">
        <is>
          <t>m2</t>
        </is>
      </c>
      <c r="D12" t="n">
        <v>4500</v>
      </c>
      <c r="E12" t="n">
        <v>95000</v>
      </c>
      <c r="F12">
        <f>D12*E12</f>
        <v/>
      </c>
      <c r="G12" t="inlineStr">
        <is>
          <t>ONDAC 2026Q1</t>
        </is>
      </c>
    </row>
    <row r="13">
      <c r="A13" t="inlineStr">
        <is>
          <t>hormigon_armado_H30</t>
        </is>
      </c>
      <c r="B13" t="inlineStr">
        <is>
          <t>Hormigon armado H30 muro e=45cm</t>
        </is>
      </c>
      <c r="C13" t="inlineStr">
        <is>
          <t>m3</t>
        </is>
      </c>
      <c r="D13" t="n">
        <v>2025</v>
      </c>
      <c r="E13" t="n">
        <v>380000</v>
      </c>
      <c r="F13">
        <f>D13*E13</f>
        <v/>
      </c>
      <c r="G13" t="inlineStr">
        <is>
          <t>ONDAC 2026Q1</t>
        </is>
      </c>
    </row>
    <row r="14">
      <c r="A14" t="inlineStr">
        <is>
          <t>moldaje_muro</t>
        </is>
      </c>
      <c r="B14" t="inlineStr">
        <is>
          <t>Moldaje muro</t>
        </is>
      </c>
      <c r="C14" t="inlineStr">
        <is>
          <t>m2</t>
        </is>
      </c>
      <c r="D14" t="n">
        <v>9000</v>
      </c>
      <c r="E14" t="n">
        <v>25000</v>
      </c>
      <c r="F14">
        <f>D14*E14</f>
        <v/>
      </c>
      <c r="G14" t="inlineStr">
        <is>
          <t>ONDAC 2026Q1</t>
        </is>
      </c>
    </row>
    <row r="16">
      <c r="B16" s="3" t="inlineStr">
        <is>
          <t>SUBTOTAL NETO</t>
        </is>
      </c>
      <c r="F16" s="3">
        <f>SUM(F2:F14)</f>
        <v/>
      </c>
    </row>
    <row r="17">
      <c r="B17" t="inlineStr">
        <is>
          <t>GG + Utilidad (25%)</t>
        </is>
      </c>
      <c r="F17">
        <f>F16*0.25</f>
        <v/>
      </c>
    </row>
    <row r="18">
      <c r="B18" s="3" t="inlineStr">
        <is>
          <t>SUBTOTAL + GG&amp;U</t>
        </is>
      </c>
      <c r="F18" s="3">
        <f>F16+F17</f>
        <v/>
      </c>
    </row>
    <row r="19">
      <c r="B19" t="inlineStr">
        <is>
          <t>IVA (19%)</t>
        </is>
      </c>
      <c r="F19">
        <f>F18*0.19</f>
        <v/>
      </c>
    </row>
    <row r="20">
      <c r="B20" s="8" t="inlineStr">
        <is>
          <t>TOTAL CON IVA</t>
        </is>
      </c>
      <c r="F20" s="4">
        <f>F18+F19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2026-05-18T02:09:40Z</dcterms:created>
  <dcterms:modified xsi:type="dcterms:W3CDTF">2026-05-18T02:09:40Z</dcterms:modified>
</cp:coreProperties>
</file>