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intos" sheetId="2" state="visible" r:id="rId2"/>
    <sheet name="Cubicacion" sheetId="3" state="visible" r:id="rId3"/>
    <sheet name="Traza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DDDDD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12" customWidth="1" min="3" max="3"/>
    <col width="12" customWidth="1" min="4" max="4"/>
  </cols>
  <sheetData>
    <row r="1">
      <c r="A1" s="1" t="inlineStr">
        <is>
          <t>CUBICACION + PRESUPUESTO</t>
        </is>
      </c>
    </row>
    <row r="2"/>
    <row r="3">
      <c r="A3" s="2" t="inlineStr">
        <is>
          <t>Lamina:</t>
        </is>
      </c>
      <c r="B3" t="inlineStr">
        <is>
          <t>—</t>
        </is>
      </c>
    </row>
    <row r="4">
      <c r="A4" s="2" t="inlineStr">
        <is>
          <t>Tipo:</t>
        </is>
      </c>
      <c r="B4" t="inlineStr">
        <is>
          <t>—</t>
        </is>
      </c>
    </row>
    <row r="5">
      <c r="A5" s="2" t="inlineStr">
        <is>
          <t>Escala:</t>
        </is>
      </c>
      <c r="B5" t="inlineStr">
        <is>
          <t>—</t>
        </is>
      </c>
    </row>
    <row r="6">
      <c r="A6" s="2" t="inlineStr">
        <is>
          <t>Calidad plano:</t>
        </is>
      </c>
      <c r="B6" t="inlineStr">
        <is>
          <t>—</t>
        </is>
      </c>
    </row>
    <row r="7">
      <c r="A7" s="2" t="inlineStr">
        <is>
          <t>Generado:</t>
        </is>
      </c>
      <c r="B7" t="inlineStr">
        <is>
          <t>2026-05-18 03:24</t>
        </is>
      </c>
    </row>
    <row r="8">
      <c r="A8" s="2" t="inlineStr"/>
      <c r="B8" t="inlineStr"/>
    </row>
    <row r="9">
      <c r="A9" s="2" t="inlineStr">
        <is>
          <t>Area confiable (conf ≥ 0.70):</t>
        </is>
      </c>
      <c r="B9" t="inlineStr">
        <is>
          <t>313600.0 m²</t>
        </is>
      </c>
    </row>
    <row r="10">
      <c r="A10" s="2" t="inlineStr">
        <is>
          <t>Area incierta (0.50-0.69):</t>
        </is>
      </c>
      <c r="B10" t="inlineStr">
        <is>
          <t>0.0 m²</t>
        </is>
      </c>
    </row>
    <row r="11">
      <c r="A11" s="2" t="inlineStr">
        <is>
          <t>Area total:</t>
        </is>
      </c>
      <c r="B11" t="inlineStr">
        <is>
          <t>313600.0 m²</t>
        </is>
      </c>
    </row>
    <row r="12">
      <c r="A12" s="2" t="inlineStr"/>
      <c r="B12" t="inlineStr"/>
    </row>
    <row r="13">
      <c r="A13" s="2" t="inlineStr">
        <is>
          <t>Subtotal neto:</t>
        </is>
      </c>
      <c r="B13" t="inlineStr">
        <is>
          <t>$ 2.170.450.000</t>
        </is>
      </c>
    </row>
    <row r="14">
      <c r="A14" s="2" t="inlineStr">
        <is>
          <t>GG + Utilidad (25%):</t>
        </is>
      </c>
      <c r="B14" t="inlineStr">
        <is>
          <t>$ 542.612.500</t>
        </is>
      </c>
    </row>
    <row r="15">
      <c r="A15" s="2" t="inlineStr">
        <is>
          <t>Subtotal + GG&amp;U:</t>
        </is>
      </c>
      <c r="B15" t="inlineStr">
        <is>
          <t>$ 2.713.062.500</t>
        </is>
      </c>
    </row>
    <row r="16">
      <c r="A16" s="2" t="inlineStr">
        <is>
          <t>IVA (19%):</t>
        </is>
      </c>
      <c r="B16" t="inlineStr">
        <is>
          <t>$ 515.481.875</t>
        </is>
      </c>
    </row>
    <row r="17">
      <c r="A17" s="3" t="inlineStr">
        <is>
          <t>TOTAL CON IVA:</t>
        </is>
      </c>
      <c r="B17" s="4" t="inlineStr">
        <is>
          <t>$ 3.228.544.375 CLP</t>
        </is>
      </c>
    </row>
    <row r="18">
      <c r="A18" s="2" t="inlineStr">
        <is>
          <t>Costo por m²:</t>
        </is>
      </c>
      <c r="B18" t="inlineStr">
        <is>
          <t>$ 10.295 CLP/m²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0" customWidth="1" min="4" max="4"/>
    <col width="10" customWidth="1" min="5" max="5"/>
    <col width="12" customWidth="1" min="6" max="6"/>
    <col width="6" customWidth="1" min="7" max="7"/>
  </cols>
  <sheetData>
    <row r="1">
      <c r="A1" s="5" t="inlineStr">
        <is>
          <t>Departamento</t>
        </is>
      </c>
      <c r="B1" s="5" t="inlineStr">
        <is>
          <t>Nombre</t>
        </is>
      </c>
      <c r="C1" s="5" t="inlineStr">
        <is>
          <t>Categoria</t>
        </is>
      </c>
      <c r="D1" s="5" t="inlineStr">
        <is>
          <t>Area m²</t>
        </is>
      </c>
      <c r="E1" s="5" t="inlineStr">
        <is>
          <t>Perim ml</t>
        </is>
      </c>
      <c r="F1" s="5" t="inlineStr">
        <is>
          <t>Confianza</t>
        </is>
      </c>
      <c r="G1" s="5" t="inlineStr">
        <is>
          <t>Flag</t>
        </is>
      </c>
    </row>
    <row r="2">
      <c r="A2" t="inlineStr">
        <is>
          <t>Conservacion</t>
        </is>
      </c>
      <c r="B2" t="inlineStr">
        <is>
          <t>MICROPAVIMENTO ZONA B</t>
        </is>
      </c>
      <c r="C2" t="inlineStr">
        <is>
          <t>vial</t>
        </is>
      </c>
      <c r="D2" t="n">
        <v>72000</v>
      </c>
      <c r="E2" t="n">
        <v>1095.45</v>
      </c>
      <c r="F2" t="n">
        <v>0.9</v>
      </c>
      <c r="G2" t="inlineStr">
        <is>
          <t>✓</t>
        </is>
      </c>
    </row>
    <row r="3">
      <c r="A3" t="inlineStr">
        <is>
          <t>Conservacion</t>
        </is>
      </c>
      <c r="B3" t="inlineStr">
        <is>
          <t>RECARPETEO ASFALTICO ZONA A</t>
        </is>
      </c>
      <c r="C3" t="inlineStr">
        <is>
          <t>vial</t>
        </is>
      </c>
      <c r="D3" t="n">
        <v>96000</v>
      </c>
      <c r="E3" t="n">
        <v>1264.91</v>
      </c>
      <c r="F3" t="n">
        <v>0.92</v>
      </c>
      <c r="G3" t="inlineStr">
        <is>
          <t>✓</t>
        </is>
      </c>
    </row>
    <row r="4">
      <c r="A4" t="inlineStr">
        <is>
          <t>Conservacion</t>
        </is>
      </c>
      <c r="B4" t="inlineStr">
        <is>
          <t>SELLO DE GRIETAS ZONA C</t>
        </is>
      </c>
      <c r="C4" t="inlineStr">
        <is>
          <t>vial</t>
        </is>
      </c>
      <c r="D4" t="n">
        <v>72000</v>
      </c>
      <c r="E4" t="n">
        <v>1095.45</v>
      </c>
      <c r="F4" t="n">
        <v>0.9</v>
      </c>
      <c r="G4" t="inlineStr">
        <is>
          <t>✓</t>
        </is>
      </c>
    </row>
    <row r="5">
      <c r="A5" s="3" t="inlineStr">
        <is>
          <t>Subtotal Conservacion</t>
        </is>
      </c>
      <c r="D5" s="3" t="n">
        <v>240000</v>
      </c>
    </row>
    <row r="6">
      <c r="A6" t="inlineStr">
        <is>
          <t>Drenaje</t>
        </is>
      </c>
      <c r="B6" t="inlineStr">
        <is>
          <t>BAJADA DE AGUA TALUD</t>
        </is>
      </c>
      <c r="C6" t="inlineStr">
        <is>
          <t>vial</t>
        </is>
      </c>
      <c r="D6" t="n">
        <v>960</v>
      </c>
      <c r="E6" t="n">
        <v>126.49</v>
      </c>
      <c r="F6" t="n">
        <v>0.82</v>
      </c>
      <c r="G6" t="inlineStr">
        <is>
          <t>✓</t>
        </is>
      </c>
    </row>
    <row r="7">
      <c r="A7" s="3" t="inlineStr">
        <is>
          <t>Subtotal Drenaje</t>
        </is>
      </c>
      <c r="D7" s="3" t="n">
        <v>960</v>
      </c>
    </row>
    <row r="8">
      <c r="A8" t="inlineStr">
        <is>
          <t>Medioambiente</t>
        </is>
      </c>
      <c r="B8" t="inlineStr">
        <is>
          <t>REVEGETACION TALUDES DETERIORADOS</t>
        </is>
      </c>
      <c r="C8" t="inlineStr">
        <is>
          <t>vial</t>
        </is>
      </c>
      <c r="D8" t="n">
        <v>13500</v>
      </c>
      <c r="E8" t="n">
        <v>474.34</v>
      </c>
      <c r="F8" t="n">
        <v>0.85</v>
      </c>
      <c r="G8" t="inlineStr">
        <is>
          <t>✓</t>
        </is>
      </c>
    </row>
    <row r="9">
      <c r="A9" s="3" t="inlineStr">
        <is>
          <t>Subtotal Medioambiente</t>
        </is>
      </c>
      <c r="D9" s="3" t="n">
        <v>13500</v>
      </c>
    </row>
    <row r="10">
      <c r="A10" t="inlineStr">
        <is>
          <t>Seguridad Vial</t>
        </is>
      </c>
      <c r="B10" t="inlineStr">
        <is>
          <t>BALIZAS RETROREFLECTANTES</t>
        </is>
      </c>
      <c r="C10" t="inlineStr">
        <is>
          <t>vial</t>
        </is>
      </c>
      <c r="D10" t="n">
        <v>750</v>
      </c>
      <c r="E10" t="n">
        <v>111.8</v>
      </c>
      <c r="F10" t="n">
        <v>0.85</v>
      </c>
      <c r="G10" t="inlineStr">
        <is>
          <t>✓</t>
        </is>
      </c>
    </row>
    <row r="11">
      <c r="A11" t="inlineStr">
        <is>
          <t>Seguridad Vial</t>
        </is>
      </c>
      <c r="B11" t="inlineStr">
        <is>
          <t>DEMARCACION VIAL TERMOPLASTICA</t>
        </is>
      </c>
      <c r="C11" t="inlineStr">
        <is>
          <t>vial</t>
        </is>
      </c>
      <c r="D11" t="n">
        <v>54000</v>
      </c>
      <c r="E11" t="n">
        <v>948.6799999999999</v>
      </c>
      <c r="F11" t="n">
        <v>0.92</v>
      </c>
      <c r="G11" t="inlineStr">
        <is>
          <t>✓</t>
        </is>
      </c>
    </row>
    <row r="12">
      <c r="A12" t="inlineStr">
        <is>
          <t>Seguridad Vial</t>
        </is>
      </c>
      <c r="B12" t="inlineStr">
        <is>
          <t>GUARDAVIA FLEXIBLE W RENOVACION</t>
        </is>
      </c>
      <c r="C12" t="inlineStr">
        <is>
          <t>vial</t>
        </is>
      </c>
      <c r="D12" t="n">
        <v>4000</v>
      </c>
      <c r="E12" t="n">
        <v>258.2</v>
      </c>
      <c r="F12" t="n">
        <v>0.9</v>
      </c>
      <c r="G12" t="inlineStr">
        <is>
          <t>✓</t>
        </is>
      </c>
    </row>
    <row r="13">
      <c r="A13" t="inlineStr">
        <is>
          <t>Seguridad Vial</t>
        </is>
      </c>
      <c r="B13" t="inlineStr">
        <is>
          <t>HITO KILOMETRICO TRAMO</t>
        </is>
      </c>
      <c r="C13" t="inlineStr">
        <is>
          <t>vial</t>
        </is>
      </c>
      <c r="D13" t="n">
        <v>90</v>
      </c>
      <c r="E13" t="n">
        <v>38.73</v>
      </c>
      <c r="F13" t="n">
        <v>0.88</v>
      </c>
      <c r="G13" t="inlineStr">
        <is>
          <t>✓</t>
        </is>
      </c>
    </row>
    <row r="14">
      <c r="A14" t="inlineStr">
        <is>
          <t>Seguridad Vial</t>
        </is>
      </c>
      <c r="B14" t="inlineStr">
        <is>
          <t>SENALETIVA VERTICAL RENOVACION</t>
        </is>
      </c>
      <c r="C14" t="inlineStr">
        <is>
          <t>vial</t>
        </is>
      </c>
      <c r="D14" t="n">
        <v>300</v>
      </c>
      <c r="E14" t="n">
        <v>70.70999999999999</v>
      </c>
      <c r="F14" t="n">
        <v>0.88</v>
      </c>
      <c r="G14" t="inlineStr">
        <is>
          <t>✓</t>
        </is>
      </c>
    </row>
    <row r="15">
      <c r="A15" s="3" t="inlineStr">
        <is>
          <t>Subtotal Seguridad Vial</t>
        </is>
      </c>
      <c r="D15" s="3" t="n">
        <v>59140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8" customWidth="1" min="3" max="3"/>
    <col width="10" customWidth="1" min="4" max="4"/>
    <col width="16" customWidth="1" min="5" max="5"/>
    <col width="18" customWidth="1" min="6" max="6"/>
    <col width="18" customWidth="1" min="7" max="7"/>
  </cols>
  <sheetData>
    <row r="1">
      <c r="A1" s="5" t="inlineStr">
        <is>
          <t>Partida</t>
        </is>
      </c>
      <c r="B1" s="5" t="inlineStr">
        <is>
          <t>Descripcion</t>
        </is>
      </c>
      <c r="C1" s="5" t="inlineStr">
        <is>
          <t>Unidad</t>
        </is>
      </c>
      <c r="D1" s="5" t="inlineStr">
        <is>
          <t>Cantidad</t>
        </is>
      </c>
      <c r="E1" s="5" t="inlineStr">
        <is>
          <t>Precio unit. CLP</t>
        </is>
      </c>
      <c r="F1" s="5" t="inlineStr">
        <is>
          <t>Subtotal CLP</t>
        </is>
      </c>
      <c r="G1" s="5" t="inlineStr">
        <is>
          <t>Fuente</t>
        </is>
      </c>
    </row>
    <row r="3">
      <c r="A3" s="6" t="inlineStr">
        <is>
          <t>INFRAESTRUCTURA VIAL</t>
        </is>
      </c>
      <c r="B3" s="7" t="inlineStr">
        <is>
          <t>Cantidades estimadas — verificar con planos de seccion</t>
        </is>
      </c>
    </row>
    <row r="4">
      <c r="A4" t="inlineStr">
        <is>
          <t>carpeta_asfaltica_e60mm</t>
        </is>
      </c>
      <c r="B4" t="inlineStr">
        <is>
          <t>Carpeta asfaltica e=60mm</t>
        </is>
      </c>
      <c r="C4" t="inlineStr">
        <is>
          <t>m2</t>
        </is>
      </c>
      <c r="D4" t="n">
        <v>96000</v>
      </c>
      <c r="E4" t="n">
        <v>8500</v>
      </c>
      <c r="F4">
        <f>D4*E4</f>
        <v/>
      </c>
      <c r="G4" t="inlineStr">
        <is>
          <t>ONDAC 2026Q1</t>
        </is>
      </c>
    </row>
    <row r="5">
      <c r="A5" t="inlineStr">
        <is>
          <t>micropavimento_e25mm</t>
        </is>
      </c>
      <c r="B5" t="inlineStr">
        <is>
          <t>Micropavimento e=25mm</t>
        </is>
      </c>
      <c r="C5" t="inlineStr">
        <is>
          <t>m2</t>
        </is>
      </c>
      <c r="D5" t="n">
        <v>72000</v>
      </c>
      <c r="E5" t="n">
        <v>4000</v>
      </c>
      <c r="F5">
        <f>D5*E5</f>
        <v/>
      </c>
      <c r="G5" t="inlineStr">
        <is>
          <t>ONDAC 2026Q1</t>
        </is>
      </c>
    </row>
    <row r="6">
      <c r="A6" t="inlineStr">
        <is>
          <t>sello_grietas_asfaltico</t>
        </is>
      </c>
      <c r="B6" t="inlineStr">
        <is>
          <t>Sello de grietas asfaltico</t>
        </is>
      </c>
      <c r="C6" t="inlineStr">
        <is>
          <t>m2</t>
        </is>
      </c>
      <c r="D6" t="n">
        <v>72000</v>
      </c>
      <c r="E6" t="n">
        <v>1500</v>
      </c>
      <c r="F6">
        <f>D6*E6</f>
        <v/>
      </c>
      <c r="G6" t="inlineStr">
        <is>
          <t>ONDAC 2026Q1</t>
        </is>
      </c>
    </row>
    <row r="7">
      <c r="A7" t="inlineStr">
        <is>
          <t>demarcacion_vial_termoplastico</t>
        </is>
      </c>
      <c r="B7" t="inlineStr">
        <is>
          <t>Demarcacion vial termoplastico</t>
        </is>
      </c>
      <c r="C7" t="inlineStr">
        <is>
          <t>m2</t>
        </is>
      </c>
      <c r="D7" t="n">
        <v>54000</v>
      </c>
      <c r="E7" t="n">
        <v>8000</v>
      </c>
      <c r="F7">
        <f>D7*E7</f>
        <v/>
      </c>
      <c r="G7" t="inlineStr">
        <is>
          <t>ONDAC 2026Q1</t>
        </is>
      </c>
    </row>
    <row r="8">
      <c r="A8" t="inlineStr">
        <is>
          <t>senal_vial_retrorreflectante</t>
        </is>
      </c>
      <c r="B8" t="inlineStr">
        <is>
          <t>Senal vial retroreflectante (1.5m²/señal)</t>
        </is>
      </c>
      <c r="C8" t="inlineStr">
        <is>
          <t>un</t>
        </is>
      </c>
      <c r="D8" t="n">
        <v>760</v>
      </c>
      <c r="E8" t="n">
        <v>180000</v>
      </c>
      <c r="F8">
        <f>D8*E8</f>
        <v/>
      </c>
      <c r="G8" t="inlineStr">
        <is>
          <t>ONDAC 2026Q1</t>
        </is>
      </c>
    </row>
    <row r="9">
      <c r="A9" t="inlineStr">
        <is>
          <t>guardavia_flexible_w</t>
        </is>
      </c>
      <c r="B9" t="inlineStr">
        <is>
          <t>Guardavia flexible W-beam doble ola</t>
        </is>
      </c>
      <c r="C9" t="inlineStr">
        <is>
          <t>ml</t>
        </is>
      </c>
      <c r="D9" t="n">
        <v>8000</v>
      </c>
      <c r="E9" t="n">
        <v>32000</v>
      </c>
      <c r="F9">
        <f>D9*E9</f>
        <v/>
      </c>
      <c r="G9" t="inlineStr">
        <is>
          <t>ONDAC 2026Q1</t>
        </is>
      </c>
    </row>
    <row r="10">
      <c r="A10" t="inlineStr">
        <is>
          <t>canal_hormigon_revestido</t>
        </is>
      </c>
      <c r="B10" t="inlineStr">
        <is>
          <t>Canal hormigon revestido a=2.0m</t>
        </is>
      </c>
      <c r="C10" t="inlineStr">
        <is>
          <t>ml</t>
        </is>
      </c>
      <c r="D10" t="n">
        <v>480</v>
      </c>
      <c r="E10" t="n">
        <v>180000</v>
      </c>
      <c r="F10">
        <f>D10*E10</f>
        <v/>
      </c>
      <c r="G10" t="inlineStr">
        <is>
          <t>ONDAC 2026Q1</t>
        </is>
      </c>
    </row>
    <row r="11">
      <c r="A11" t="inlineStr">
        <is>
          <t>revegetacion_hidrosiembra</t>
        </is>
      </c>
      <c r="B11" t="inlineStr">
        <is>
          <t>Revegetacion hidrosiembra taludes</t>
        </is>
      </c>
      <c r="C11" t="inlineStr">
        <is>
          <t>m2</t>
        </is>
      </c>
      <c r="D11" t="n">
        <v>13500</v>
      </c>
      <c r="E11" t="n">
        <v>3500</v>
      </c>
      <c r="F11">
        <f>D11*E11</f>
        <v/>
      </c>
      <c r="G11" t="inlineStr">
        <is>
          <t>ONDAC 2026Q1</t>
        </is>
      </c>
    </row>
    <row r="13">
      <c r="B13" s="3" t="inlineStr">
        <is>
          <t>SUBTOTAL NETO</t>
        </is>
      </c>
      <c r="F13" s="3">
        <f>SUM(F2:F11)</f>
        <v/>
      </c>
    </row>
    <row r="14">
      <c r="B14" t="inlineStr">
        <is>
          <t>GG + Utilidad (25%)</t>
        </is>
      </c>
      <c r="F14">
        <f>F13*0.25</f>
        <v/>
      </c>
    </row>
    <row r="15">
      <c r="B15" s="3" t="inlineStr">
        <is>
          <t>SUBTOTAL + GG&amp;U</t>
        </is>
      </c>
      <c r="F15" s="3">
        <f>F13+F14</f>
        <v/>
      </c>
    </row>
    <row r="16">
      <c r="B16" t="inlineStr">
        <is>
          <t>IVA (19%)</t>
        </is>
      </c>
      <c r="F16">
        <f>F15*0.19</f>
        <v/>
      </c>
    </row>
    <row r="17">
      <c r="B17" s="8" t="inlineStr">
        <is>
          <t>TOTAL CON IVA</t>
        </is>
      </c>
      <c r="F17" s="4">
        <f>F15+F16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8" t="inlineStr">
        <is>
          <t>SCHEDULE EXTRAIDO</t>
        </is>
      </c>
    </row>
    <row r="3">
      <c r="A3" t="inlineStr">
        <is>
          <t>(sin tabla de areas detectada)</t>
        </is>
      </c>
    </row>
    <row r="6">
      <c r="A6" s="8" t="inlineStr">
        <is>
          <t>OBSERVACIONES API</t>
        </is>
      </c>
    </row>
    <row r="8">
      <c r="A8" s="8" t="inlineStr">
        <is>
          <t>COSTO Y TOKENS API</t>
        </is>
      </c>
    </row>
    <row r="9">
      <c r="A9" t="inlineStr">
        <is>
          <t>Tiles procesados:</t>
        </is>
      </c>
      <c r="B9" t="n">
        <v>1</v>
      </c>
    </row>
    <row r="10">
      <c r="A10" t="inlineStr">
        <is>
          <t>Tokens entrada:</t>
        </is>
      </c>
      <c r="B10" t="n">
        <v>1200</v>
      </c>
    </row>
    <row r="11">
      <c r="A11" t="inlineStr">
        <is>
          <t>Tokens salida:</t>
        </is>
      </c>
      <c r="B11" t="n">
        <v>150</v>
      </c>
    </row>
    <row r="12">
      <c r="A12" t="inlineStr">
        <is>
          <t>Costo API USD:</t>
        </is>
      </c>
      <c r="B12" t="inlineStr">
        <is>
          <t>$0.0293</t>
        </is>
      </c>
    </row>
    <row r="17">
      <c r="A17" s="8" t="inlineStr">
        <is>
          <t>RECINTOS CON CLASIFICACION HEURISTICA</t>
        </is>
      </c>
    </row>
    <row r="18">
      <c r="A18" s="5" t="inlineStr">
        <is>
          <t>Nombre</t>
        </is>
      </c>
      <c r="B18" s="5" t="inlineStr">
        <is>
          <t>Categoria asignada</t>
        </is>
      </c>
    </row>
    <row r="19">
      <c r="A19" t="inlineStr">
        <is>
          <t>HITO KILOMETRICO TRAMO</t>
        </is>
      </c>
      <c r="B19" t="inlineStr">
        <is>
          <t>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2026-05-18T03:24:54Z</dcterms:created>
  <dcterms:modified xsi:type="dcterms:W3CDTF">2026-05-18T03:24:54Z</dcterms:modified>
</cp:coreProperties>
</file>