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 Oferta" sheetId="1" state="visible" r:id="rId1"/>
    <sheet name="A) Detalle Costo Directo" sheetId="2" state="visible" r:id="rId2"/>
    <sheet name="B) Detalle C. Ind., GG y Utilid" sheetId="3" state="visible" r:id="rId3"/>
    <sheet name="Análisis de Precios" sheetId="4" state="visible" r:id="rId4"/>
    <sheet name="Memoria de Cálcul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9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sz val="9"/>
    </font>
    <font>
      <sz val="9"/>
    </font>
    <font>
      <i val="1"/>
      <sz val="8"/>
    </font>
    <font>
      <i val="1"/>
      <color rgb="00C00000"/>
      <sz val="8"/>
    </font>
    <font>
      <i val="1"/>
      <sz val="9"/>
    </font>
    <font>
      <b val="1"/>
      <color rgb="00FFFFFF"/>
      <sz val="11"/>
    </font>
    <font>
      <i val="1"/>
      <color rgb="00666666"/>
      <sz val="8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BDD7EE"/>
      </patternFill>
    </fill>
    <fill>
      <patternFill patternType="solid">
        <fgColor rgb="00FFFF0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4" fillId="7" borderId="0" pivotButton="0" quotePrefix="0" xfId="0"/>
    <xf numFmtId="0" fontId="4" fillId="6" borderId="0" pivotButton="0" quotePrefix="0" xfId="0"/>
    <xf numFmtId="0" fontId="4" fillId="4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3" fillId="4" borderId="0" pivotButton="0" quotePrefix="0" xfId="0"/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4" fontId="2" fillId="3" borderId="1" applyAlignment="1" pivotButton="0" quotePrefix="0" xfId="0">
      <alignment horizontal="center" vertical="center"/>
    </xf>
    <xf numFmtId="0" fontId="2" fillId="3" borderId="0" pivotButton="0" quotePrefix="0" xfId="0"/>
    <xf numFmtId="0" fontId="2" fillId="0" borderId="0" pivotButton="0" quotePrefix="0" xfId="0"/>
    <xf numFmtId="0" fontId="2" fillId="3" borderId="0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4" fontId="3" fillId="7" borderId="1" pivotButton="0" quotePrefix="0" xfId="0"/>
    <xf numFmtId="164" fontId="3" fillId="6" borderId="1" pivotButton="0" quotePrefix="0" xfId="0"/>
    <xf numFmtId="4" fontId="0" fillId="0" borderId="1" pivotButton="0" quotePrefix="0" xfId="0"/>
    <xf numFmtId="0" fontId="0" fillId="0" borderId="1" pivotButton="0" quotePrefix="0" xfId="0"/>
    <xf numFmtId="0" fontId="3" fillId="4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7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3" fillId="6" borderId="1" pivotButton="0" quotePrefix="0" xfId="0"/>
    <xf numFmtId="0" fontId="6" fillId="0" borderId="1" applyAlignment="1" pivotButton="0" quotePrefix="0" xfId="0">
      <alignment vertical="top" wrapText="1"/>
    </xf>
    <xf numFmtId="0" fontId="2" fillId="3" borderId="1" pivotButton="0" quotePrefix="0" xfId="0"/>
    <xf numFmtId="0" fontId="3" fillId="5" borderId="1" pivotButton="0" quotePrefix="0" xfId="0"/>
    <xf numFmtId="0" fontId="7" fillId="2" borderId="0" applyAlignment="1" pivotButton="0" quotePrefix="0" xfId="0">
      <alignment horizontal="center" vertical="center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3:C3"/>
  <sheetViews>
    <sheetView workbookViewId="0">
      <selection activeCell="A1" sqref="A1"/>
    </sheetView>
  </sheetViews>
  <sheetFormatPr baseColWidth="8" defaultRowHeight="15"/>
  <sheetData>
    <row r="3">
      <c r="A3" s="1" t="inlineStr">
        <is>
          <t>Verde: cantidad calculada por modelo</t>
        </is>
      </c>
      <c r="B3" s="2" t="inlineStr">
        <is>
          <t>Salmón: precio referencial ONDAC 2026 (UF)</t>
        </is>
      </c>
      <c r="C3" s="3" t="inlineStr">
        <is>
          <t>Amarillo: completar con precio oferta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4"/>
  <sheetViews>
    <sheetView workbookViewId="0">
      <selection activeCell="A1" sqref="A1"/>
    </sheetView>
  </sheetViews>
  <sheetFormatPr baseColWidth="8" defaultRowHeight="15"/>
  <cols>
    <col width="9" customWidth="1" min="1" max="1"/>
    <col width="55" customWidth="1" min="2" max="2"/>
    <col width="8" customWidth="1" min="3" max="3"/>
    <col width="13" customWidth="1" min="4" max="4"/>
    <col width="16" customWidth="1" min="5" max="5"/>
    <col width="14" customWidth="1" min="6" max="6"/>
    <col width="22" customWidth="1" min="7" max="7"/>
    <col width="30" customWidth="1" min="8" max="8"/>
  </cols>
  <sheetData>
    <row r="1">
      <c r="A1" s="4" t="inlineStr">
        <is>
          <t>CUADRO DE PRECIOS — DETALLE COSTO DIRECTO</t>
        </is>
      </c>
      <c r="B1" s="5" t="n"/>
      <c r="E1" s="6" t="n"/>
    </row>
    <row r="2">
      <c r="A2" s="7" t="inlineStr">
        <is>
          <t>N°</t>
        </is>
      </c>
      <c r="B2" s="8" t="inlineStr">
        <is>
          <t>Descripción</t>
        </is>
      </c>
      <c r="C2" s="7" t="inlineStr">
        <is>
          <t>Und</t>
        </is>
      </c>
      <c r="D2" s="9" t="inlineStr">
        <is>
          <t>Cantidad</t>
        </is>
      </c>
      <c r="E2" s="10" t="inlineStr">
        <is>
          <t>P.U. (UF)</t>
        </is>
      </c>
      <c r="F2" s="11">
        <f>D2*E2</f>
        <v/>
      </c>
      <c r="G2" s="7" t="inlineStr">
        <is>
          <t>Obs.</t>
        </is>
      </c>
    </row>
    <row r="3">
      <c r="A3" s="12" t="inlineStr">
        <is>
          <t>4</t>
        </is>
      </c>
      <c r="B3" s="12" t="inlineStr">
        <is>
          <t>OBRAS EN PIQUES</t>
        </is>
      </c>
    </row>
    <row r="4">
      <c r="A4" s="13" t="inlineStr">
        <is>
          <t>4.1</t>
        </is>
      </c>
      <c r="B4" s="14" t="inlineStr">
        <is>
          <t>PIQUE 1 (SS VITACURA)</t>
        </is>
      </c>
      <c r="E4" s="6" t="n"/>
    </row>
    <row r="5">
      <c r="A5" s="15" t="inlineStr">
        <is>
          <t>4.1.1</t>
        </is>
      </c>
      <c r="B5" s="15" t="inlineStr">
        <is>
          <t>Excavación pique</t>
        </is>
      </c>
      <c r="C5" s="15" t="inlineStr">
        <is>
          <t>m³</t>
        </is>
      </c>
      <c r="D5" s="16" t="n">
        <v>252.46</v>
      </c>
      <c r="E5" s="17" t="n">
        <v>2.2078</v>
      </c>
      <c r="F5" s="18">
        <f>D5*E5</f>
        <v/>
      </c>
      <c r="G5" s="19" t="n"/>
      <c r="H5" s="19" t="n"/>
    </row>
    <row r="6">
      <c r="A6" s="15" t="inlineStr">
        <is>
          <t>4.1.2</t>
        </is>
      </c>
      <c r="B6" s="15" t="inlineStr">
        <is>
          <t>Retiro y transporte material excavado</t>
        </is>
      </c>
      <c r="C6" s="15" t="inlineStr">
        <is>
          <t>m³</t>
        </is>
      </c>
      <c r="D6" s="16" t="n">
        <v>252.46</v>
      </c>
      <c r="E6" s="17" t="n">
        <v>0.9091</v>
      </c>
      <c r="F6" s="18">
        <f>D6*E6</f>
        <v/>
      </c>
      <c r="G6" s="19" t="n"/>
      <c r="H6" s="19" t="n"/>
    </row>
    <row r="7">
      <c r="A7" s="15" t="inlineStr">
        <is>
          <t>4.1.3</t>
        </is>
      </c>
      <c r="B7" s="15" t="inlineStr">
        <is>
          <t>Montaje liner pique</t>
        </is>
      </c>
      <c r="C7" s="15" t="inlineStr">
        <is>
          <t>m</t>
        </is>
      </c>
      <c r="D7" s="16" t="n">
        <v>20.1</v>
      </c>
      <c r="E7" s="17" t="n">
        <v>5.7143</v>
      </c>
      <c r="F7" s="18">
        <f>D7*E7</f>
        <v/>
      </c>
      <c r="G7" s="19" t="n"/>
      <c r="H7" s="19" t="n"/>
    </row>
    <row r="8">
      <c r="A8" s="15" t="inlineStr">
        <is>
          <t>4.1.4</t>
        </is>
      </c>
      <c r="B8" s="15" t="inlineStr">
        <is>
          <t>Refuerzo losa anillo fondo</t>
        </is>
      </c>
      <c r="C8" s="15" t="inlineStr">
        <is>
          <t>gl</t>
        </is>
      </c>
      <c r="D8" s="19" t="n"/>
      <c r="E8" s="20" t="n"/>
      <c r="F8" s="19" t="n"/>
      <c r="G8" s="19" t="n"/>
      <c r="H8" s="19" t="n"/>
    </row>
    <row r="9">
      <c r="A9" s="15" t="inlineStr">
        <is>
          <t>4.1.5</t>
        </is>
      </c>
      <c r="B9" s="15" t="inlineStr">
        <is>
          <t>Construcción dren</t>
        </is>
      </c>
      <c r="C9" s="15" t="inlineStr">
        <is>
          <t>gl</t>
        </is>
      </c>
      <c r="D9" s="19" t="n"/>
      <c r="E9" s="20" t="n"/>
      <c r="F9" s="19" t="n"/>
      <c r="G9" s="19" t="n"/>
      <c r="H9" s="19" t="n"/>
    </row>
    <row r="10">
      <c r="A10" s="15" t="inlineStr">
        <is>
          <t>4.1.6</t>
        </is>
      </c>
      <c r="B10" s="15" t="inlineStr">
        <is>
          <t>Terminaciones pique</t>
        </is>
      </c>
      <c r="C10" s="15" t="inlineStr">
        <is>
          <t>gl</t>
        </is>
      </c>
      <c r="D10" s="19" t="n"/>
      <c r="E10" s="20" t="n"/>
      <c r="F10" s="19" t="n"/>
      <c r="G10" s="19" t="n"/>
      <c r="H10" s="19" t="n"/>
    </row>
    <row r="11">
      <c r="A11" s="15" t="inlineStr">
        <is>
          <t>4.1.7</t>
        </is>
      </c>
      <c r="B11" s="15" t="inlineStr">
        <is>
          <t>Cobertura pique</t>
        </is>
      </c>
      <c r="C11" s="15" t="inlineStr">
        <is>
          <t>gl</t>
        </is>
      </c>
      <c r="D11" s="19" t="n"/>
      <c r="E11" s="20" t="n"/>
      <c r="F11" s="19" t="n"/>
      <c r="G11" s="19" t="n"/>
      <c r="H11" s="19" t="n"/>
    </row>
    <row r="12">
      <c r="A12" s="15" t="inlineStr">
        <is>
          <t>4.1.8</t>
        </is>
      </c>
      <c r="B12" s="15" t="inlineStr">
        <is>
          <t>Montaje escalas y plataformas</t>
        </is>
      </c>
      <c r="C12" s="15" t="inlineStr">
        <is>
          <t>gl</t>
        </is>
      </c>
      <c r="D12" s="16" t="n">
        <v>1</v>
      </c>
      <c r="E12" s="17" t="n">
        <v>83.1169</v>
      </c>
      <c r="F12" s="18">
        <f>D12*E12</f>
        <v/>
      </c>
      <c r="G12" s="19" t="n"/>
      <c r="H12" s="19" t="n"/>
    </row>
    <row r="13">
      <c r="A13" s="15" t="inlineStr">
        <is>
          <t>4.1.9</t>
        </is>
      </c>
      <c r="B13" s="15" t="inlineStr">
        <is>
          <t>Refuerzo apertura pique</t>
        </is>
      </c>
      <c r="C13" s="15" t="inlineStr">
        <is>
          <t>gl</t>
        </is>
      </c>
      <c r="D13" s="19" t="n"/>
      <c r="E13" s="20" t="n"/>
      <c r="F13" s="19" t="n"/>
      <c r="G13" s="19" t="n"/>
      <c r="H13" s="19" t="n"/>
    </row>
    <row r="14">
      <c r="A14" s="15" t="inlineStr">
        <is>
          <t>4.1.10</t>
        </is>
      </c>
      <c r="B14" s="15" t="inlineStr">
        <is>
          <t>Shotcrete</t>
        </is>
      </c>
      <c r="C14" s="15" t="inlineStr">
        <is>
          <t>m³</t>
        </is>
      </c>
      <c r="D14" s="19" t="n"/>
      <c r="E14" s="20" t="n"/>
      <c r="F14" s="19" t="n"/>
      <c r="G14" s="19" t="n"/>
      <c r="H14" s="19" t="n"/>
    </row>
    <row r="15">
      <c r="A15" s="15" t="inlineStr">
        <is>
          <t>4.1.11</t>
        </is>
      </c>
      <c r="B15" s="15" t="inlineStr">
        <is>
          <t>Malla electrosoldada</t>
        </is>
      </c>
      <c r="C15" s="15" t="inlineStr">
        <is>
          <t>kg</t>
        </is>
      </c>
      <c r="D15" s="19" t="n"/>
      <c r="E15" s="20" t="n"/>
      <c r="F15" s="19" t="n"/>
      <c r="G15" s="19" t="n"/>
      <c r="H15" s="19" t="n"/>
    </row>
    <row r="16">
      <c r="A16" s="15" t="inlineStr">
        <is>
          <t>4.1.12</t>
        </is>
      </c>
      <c r="B16" s="15" t="inlineStr">
        <is>
          <t>Pernos de convergencia</t>
        </is>
      </c>
      <c r="C16" s="15" t="inlineStr">
        <is>
          <t>und</t>
        </is>
      </c>
      <c r="D16" s="19" t="n"/>
      <c r="E16" s="20" t="n"/>
      <c r="F16" s="19" t="n"/>
      <c r="G16" s="19" t="n"/>
      <c r="H16" s="19" t="n"/>
    </row>
    <row r="17">
      <c r="A17" s="15" t="inlineStr">
        <is>
          <t>4.1.13</t>
        </is>
      </c>
      <c r="B17" s="15" t="inlineStr">
        <is>
          <t>Montaje estructura soporte de cables</t>
        </is>
      </c>
      <c r="C17" s="15" t="inlineStr">
        <is>
          <t>gl</t>
        </is>
      </c>
      <c r="D17" s="16" t="n">
        <v>1</v>
      </c>
      <c r="E17" s="20" t="n"/>
      <c r="F17" s="18">
        <f>D17*E17</f>
        <v/>
      </c>
      <c r="G17" s="19" t="n"/>
      <c r="H17" s="19" t="n"/>
    </row>
    <row r="18">
      <c r="A18" s="15" t="inlineStr">
        <is>
          <t>4.1.15</t>
        </is>
      </c>
      <c r="B18" s="15" t="inlineStr">
        <is>
          <t>Brocal definitivo</t>
        </is>
      </c>
      <c r="C18" s="15" t="inlineStr">
        <is>
          <t>gl</t>
        </is>
      </c>
      <c r="D18" s="16" t="n">
        <v>1</v>
      </c>
      <c r="E18" s="17" t="n">
        <v>116.8831</v>
      </c>
      <c r="F18" s="18">
        <f>D18*E18</f>
        <v/>
      </c>
      <c r="G18" s="19" t="n"/>
      <c r="H18" s="19" t="n"/>
    </row>
    <row r="19">
      <c r="A19" s="13" t="inlineStr">
        <is>
          <t>4.2</t>
        </is>
      </c>
      <c r="B19" s="14" t="inlineStr">
        <is>
          <t>PIQUE 2 (TÍPICO)</t>
        </is>
      </c>
      <c r="E19" s="6" t="n"/>
    </row>
    <row r="20">
      <c r="A20" s="15" t="inlineStr">
        <is>
          <t>4.2.1</t>
        </is>
      </c>
      <c r="B20" s="15" t="inlineStr">
        <is>
          <t>Excavación pique</t>
        </is>
      </c>
      <c r="C20" s="15" t="inlineStr">
        <is>
          <t>m³</t>
        </is>
      </c>
      <c r="D20" s="16" t="n">
        <v>234.61</v>
      </c>
      <c r="E20" s="17" t="n">
        <v>2.2078</v>
      </c>
      <c r="F20" s="18">
        <f>D20*E20</f>
        <v/>
      </c>
      <c r="G20" s="19" t="n"/>
      <c r="H20" s="19" t="n"/>
    </row>
    <row r="21">
      <c r="A21" s="15" t="inlineStr">
        <is>
          <t>4.2.2</t>
        </is>
      </c>
      <c r="B21" s="15" t="inlineStr">
        <is>
          <t>Retiro y transporte material excavado</t>
        </is>
      </c>
      <c r="C21" s="15" t="inlineStr">
        <is>
          <t>m³</t>
        </is>
      </c>
      <c r="D21" s="16" t="n">
        <v>234.61</v>
      </c>
      <c r="E21" s="17" t="n">
        <v>0.9091</v>
      </c>
      <c r="F21" s="18">
        <f>D21*E21</f>
        <v/>
      </c>
      <c r="G21" s="19" t="n"/>
      <c r="H21" s="19" t="n"/>
    </row>
    <row r="22">
      <c r="A22" s="15" t="inlineStr">
        <is>
          <t>4.2.3</t>
        </is>
      </c>
      <c r="B22" s="15" t="inlineStr">
        <is>
          <t>Montaje liner pique</t>
        </is>
      </c>
      <c r="C22" s="15" t="inlineStr">
        <is>
          <t>m</t>
        </is>
      </c>
      <c r="D22" s="16" t="n">
        <v>18.7</v>
      </c>
      <c r="E22" s="17" t="n">
        <v>5.7143</v>
      </c>
      <c r="F22" s="18">
        <f>D22*E22</f>
        <v/>
      </c>
      <c r="G22" s="19" t="n"/>
      <c r="H22" s="19" t="n"/>
    </row>
    <row r="23">
      <c r="A23" s="15" t="inlineStr">
        <is>
          <t>4.2.4</t>
        </is>
      </c>
      <c r="B23" s="15" t="inlineStr">
        <is>
          <t>Refuerzo losa anillo fondo</t>
        </is>
      </c>
      <c r="C23" s="15" t="inlineStr">
        <is>
          <t>gl</t>
        </is>
      </c>
      <c r="D23" s="19" t="n"/>
      <c r="E23" s="20" t="n"/>
      <c r="F23" s="19" t="n"/>
      <c r="G23" s="19" t="n"/>
      <c r="H23" s="19" t="n"/>
    </row>
    <row r="24">
      <c r="A24" s="15" t="inlineStr">
        <is>
          <t>4.2.5</t>
        </is>
      </c>
      <c r="B24" s="15" t="inlineStr">
        <is>
          <t>Construcción dren</t>
        </is>
      </c>
      <c r="C24" s="15" t="inlineStr">
        <is>
          <t>gl</t>
        </is>
      </c>
      <c r="D24" s="19" t="n"/>
      <c r="E24" s="20" t="n"/>
      <c r="F24" s="19" t="n"/>
      <c r="G24" s="19" t="n"/>
      <c r="H24" s="19" t="n"/>
    </row>
    <row r="25">
      <c r="A25" s="15" t="inlineStr">
        <is>
          <t>4.2.6</t>
        </is>
      </c>
      <c r="B25" s="15" t="inlineStr">
        <is>
          <t>Terminaciones pique</t>
        </is>
      </c>
      <c r="C25" s="15" t="inlineStr">
        <is>
          <t>gl</t>
        </is>
      </c>
      <c r="D25" s="19" t="n"/>
      <c r="E25" s="20" t="n"/>
      <c r="F25" s="19" t="n"/>
      <c r="G25" s="19" t="n"/>
      <c r="H25" s="19" t="n"/>
    </row>
    <row r="26">
      <c r="A26" s="15" t="inlineStr">
        <is>
          <t>4.2.7</t>
        </is>
      </c>
      <c r="B26" s="15" t="inlineStr">
        <is>
          <t>Cobertura pique</t>
        </is>
      </c>
      <c r="C26" s="15" t="inlineStr">
        <is>
          <t>gl</t>
        </is>
      </c>
      <c r="D26" s="19" t="n"/>
      <c r="E26" s="20" t="n"/>
      <c r="F26" s="19" t="n"/>
      <c r="G26" s="19" t="n"/>
      <c r="H26" s="19" t="n"/>
    </row>
    <row r="27">
      <c r="A27" s="15" t="inlineStr">
        <is>
          <t>4.2.8</t>
        </is>
      </c>
      <c r="B27" s="15" t="inlineStr">
        <is>
          <t>Montaje escalas y plataformas</t>
        </is>
      </c>
      <c r="C27" s="15" t="inlineStr">
        <is>
          <t>gl</t>
        </is>
      </c>
      <c r="D27" s="16" t="n">
        <v>1</v>
      </c>
      <c r="E27" s="17" t="n">
        <v>83.1169</v>
      </c>
      <c r="F27" s="18">
        <f>D27*E27</f>
        <v/>
      </c>
      <c r="G27" s="19" t="n"/>
      <c r="H27" s="19" t="n"/>
    </row>
    <row r="28">
      <c r="A28" s="15" t="inlineStr">
        <is>
          <t>4.2.9</t>
        </is>
      </c>
      <c r="B28" s="15" t="inlineStr">
        <is>
          <t>Refuerzo apertura pique</t>
        </is>
      </c>
      <c r="C28" s="15" t="inlineStr">
        <is>
          <t>gl</t>
        </is>
      </c>
      <c r="D28" s="19" t="n"/>
      <c r="E28" s="20" t="n"/>
      <c r="F28" s="19" t="n"/>
      <c r="G28" s="19" t="n"/>
      <c r="H28" s="19" t="n"/>
    </row>
    <row r="29">
      <c r="A29" s="15" t="inlineStr">
        <is>
          <t>4.2.10</t>
        </is>
      </c>
      <c r="B29" s="15" t="inlineStr">
        <is>
          <t>Shotcrete</t>
        </is>
      </c>
      <c r="C29" s="15" t="inlineStr">
        <is>
          <t>m³</t>
        </is>
      </c>
      <c r="D29" s="19" t="n"/>
      <c r="E29" s="20" t="n"/>
      <c r="F29" s="19" t="n"/>
      <c r="G29" s="19" t="n"/>
      <c r="H29" s="19" t="n"/>
    </row>
    <row r="30">
      <c r="A30" s="15" t="inlineStr">
        <is>
          <t>4.2.11</t>
        </is>
      </c>
      <c r="B30" s="15" t="inlineStr">
        <is>
          <t>Malla electrosoldada</t>
        </is>
      </c>
      <c r="C30" s="15" t="inlineStr">
        <is>
          <t>kg</t>
        </is>
      </c>
      <c r="D30" s="19" t="n"/>
      <c r="E30" s="20" t="n"/>
      <c r="F30" s="19" t="n"/>
      <c r="G30" s="19" t="n"/>
      <c r="H30" s="19" t="n"/>
    </row>
    <row r="31">
      <c r="A31" s="15" t="inlineStr">
        <is>
          <t>4.2.12</t>
        </is>
      </c>
      <c r="B31" s="15" t="inlineStr">
        <is>
          <t>Pernos de convergencia</t>
        </is>
      </c>
      <c r="C31" s="15" t="inlineStr">
        <is>
          <t>und</t>
        </is>
      </c>
      <c r="D31" s="19" t="n"/>
      <c r="E31" s="20" t="n"/>
      <c r="F31" s="19" t="n"/>
      <c r="G31" s="19" t="n"/>
      <c r="H31" s="19" t="n"/>
    </row>
    <row r="32">
      <c r="A32" s="15" t="inlineStr">
        <is>
          <t>4.2.14</t>
        </is>
      </c>
      <c r="B32" s="15" t="inlineStr">
        <is>
          <t>Brocal definitivo</t>
        </is>
      </c>
      <c r="C32" s="15" t="inlineStr">
        <is>
          <t>gl</t>
        </is>
      </c>
      <c r="D32" s="16" t="n">
        <v>1</v>
      </c>
      <c r="E32" s="17" t="n">
        <v>116.8831</v>
      </c>
      <c r="F32" s="18">
        <f>D32*E32</f>
        <v/>
      </c>
      <c r="G32" s="19" t="n"/>
      <c r="H32" s="19" t="n"/>
    </row>
    <row r="33">
      <c r="A33" s="13" t="inlineStr">
        <is>
          <t>4.3</t>
        </is>
      </c>
      <c r="B33" s="14" t="inlineStr">
        <is>
          <t>PIQUE 3 (TÍPICO)</t>
        </is>
      </c>
      <c r="E33" s="6" t="n"/>
    </row>
    <row r="34">
      <c r="A34" s="15" t="inlineStr">
        <is>
          <t>4.3.1</t>
        </is>
      </c>
      <c r="B34" s="15" t="inlineStr">
        <is>
          <t>Excavación pique</t>
        </is>
      </c>
      <c r="C34" s="15" t="inlineStr">
        <is>
          <t>m³</t>
        </is>
      </c>
      <c r="D34" s="16" t="n">
        <v>217.4</v>
      </c>
      <c r="E34" s="17" t="n">
        <v>2.2078</v>
      </c>
      <c r="F34" s="18">
        <f>D34*E34</f>
        <v/>
      </c>
      <c r="G34" s="19" t="n"/>
      <c r="H34" s="19" t="n"/>
    </row>
    <row r="35">
      <c r="A35" s="15" t="inlineStr">
        <is>
          <t>4.3.2</t>
        </is>
      </c>
      <c r="B35" s="15" t="inlineStr">
        <is>
          <t>Retiro y transporte material excavado</t>
        </is>
      </c>
      <c r="C35" s="15" t="inlineStr">
        <is>
          <t>m³</t>
        </is>
      </c>
      <c r="D35" s="16" t="n">
        <v>217.4</v>
      </c>
      <c r="E35" s="17" t="n">
        <v>0.9091</v>
      </c>
      <c r="F35" s="18">
        <f>D35*E35</f>
        <v/>
      </c>
      <c r="G35" s="19" t="n"/>
      <c r="H35" s="19" t="n"/>
    </row>
    <row r="36">
      <c r="A36" s="15" t="inlineStr">
        <is>
          <t>4.3.3</t>
        </is>
      </c>
      <c r="B36" s="15" t="inlineStr">
        <is>
          <t>Montaje liner pique</t>
        </is>
      </c>
      <c r="C36" s="15" t="inlineStr">
        <is>
          <t>m</t>
        </is>
      </c>
      <c r="D36" s="16" t="n">
        <v>17.3</v>
      </c>
      <c r="E36" s="17" t="n">
        <v>5.7143</v>
      </c>
      <c r="F36" s="18">
        <f>D36*E36</f>
        <v/>
      </c>
      <c r="G36" s="19" t="n"/>
      <c r="H36" s="19" t="n"/>
    </row>
    <row r="37">
      <c r="A37" s="15" t="inlineStr">
        <is>
          <t>4.3.4</t>
        </is>
      </c>
      <c r="B37" s="15" t="inlineStr">
        <is>
          <t>Refuerzo losa anillo fondo</t>
        </is>
      </c>
      <c r="C37" s="15" t="inlineStr">
        <is>
          <t>gl</t>
        </is>
      </c>
      <c r="D37" s="19" t="n"/>
      <c r="E37" s="20" t="n"/>
      <c r="F37" s="19" t="n"/>
      <c r="G37" s="19" t="n"/>
      <c r="H37" s="19" t="n"/>
    </row>
    <row r="38">
      <c r="A38" s="15" t="inlineStr">
        <is>
          <t>4.3.5</t>
        </is>
      </c>
      <c r="B38" s="15" t="inlineStr">
        <is>
          <t>Construcción dren</t>
        </is>
      </c>
      <c r="C38" s="15" t="inlineStr">
        <is>
          <t>gl</t>
        </is>
      </c>
      <c r="D38" s="19" t="n"/>
      <c r="E38" s="20" t="n"/>
      <c r="F38" s="19" t="n"/>
      <c r="G38" s="19" t="n"/>
      <c r="H38" s="19" t="n"/>
    </row>
    <row r="39">
      <c r="A39" s="15" t="inlineStr">
        <is>
          <t>4.3.6</t>
        </is>
      </c>
      <c r="B39" s="15" t="inlineStr">
        <is>
          <t>Terminaciones pique</t>
        </is>
      </c>
      <c r="C39" s="15" t="inlineStr">
        <is>
          <t>gl</t>
        </is>
      </c>
      <c r="D39" s="19" t="n"/>
      <c r="E39" s="20" t="n"/>
      <c r="F39" s="19" t="n"/>
      <c r="G39" s="19" t="n"/>
      <c r="H39" s="19" t="n"/>
    </row>
    <row r="40">
      <c r="A40" s="15" t="inlineStr">
        <is>
          <t>4.3.7</t>
        </is>
      </c>
      <c r="B40" s="15" t="inlineStr">
        <is>
          <t>Cobertura pique</t>
        </is>
      </c>
      <c r="C40" s="15" t="inlineStr">
        <is>
          <t>gl</t>
        </is>
      </c>
      <c r="D40" s="19" t="n"/>
      <c r="E40" s="20" t="n"/>
      <c r="F40" s="19" t="n"/>
      <c r="G40" s="19" t="n"/>
      <c r="H40" s="19" t="n"/>
    </row>
    <row r="41">
      <c r="A41" s="15" t="inlineStr">
        <is>
          <t>4.3.8</t>
        </is>
      </c>
      <c r="B41" s="15" t="inlineStr">
        <is>
          <t>Montaje escalas y plataformas</t>
        </is>
      </c>
      <c r="C41" s="15" t="inlineStr">
        <is>
          <t>gl</t>
        </is>
      </c>
      <c r="D41" s="16" t="n">
        <v>1</v>
      </c>
      <c r="E41" s="17" t="n">
        <v>83.1169</v>
      </c>
      <c r="F41" s="18">
        <f>D41*E41</f>
        <v/>
      </c>
      <c r="G41" s="19" t="n"/>
      <c r="H41" s="19" t="n"/>
    </row>
    <row r="42">
      <c r="A42" s="15" t="inlineStr">
        <is>
          <t>4.3.9</t>
        </is>
      </c>
      <c r="B42" s="15" t="inlineStr">
        <is>
          <t>Refuerzo apertura pique</t>
        </is>
      </c>
      <c r="C42" s="15" t="inlineStr">
        <is>
          <t>gl</t>
        </is>
      </c>
      <c r="D42" s="19" t="n"/>
      <c r="E42" s="20" t="n"/>
      <c r="F42" s="19" t="n"/>
      <c r="G42" s="19" t="n"/>
      <c r="H42" s="19" t="n"/>
    </row>
    <row r="43">
      <c r="A43" s="15" t="inlineStr">
        <is>
          <t>4.3.10</t>
        </is>
      </c>
      <c r="B43" s="15" t="inlineStr">
        <is>
          <t>Shotcrete</t>
        </is>
      </c>
      <c r="C43" s="15" t="inlineStr">
        <is>
          <t>m³</t>
        </is>
      </c>
      <c r="D43" s="19" t="n"/>
      <c r="E43" s="20" t="n"/>
      <c r="F43" s="19" t="n"/>
      <c r="G43" s="19" t="n"/>
      <c r="H43" s="19" t="n"/>
    </row>
    <row r="44">
      <c r="A44" s="15" t="inlineStr">
        <is>
          <t>4.3.11</t>
        </is>
      </c>
      <c r="B44" s="15" t="inlineStr">
        <is>
          <t>Malla electrosoldada</t>
        </is>
      </c>
      <c r="C44" s="15" t="inlineStr">
        <is>
          <t>kg</t>
        </is>
      </c>
      <c r="D44" s="19" t="n"/>
      <c r="E44" s="20" t="n"/>
      <c r="F44" s="19" t="n"/>
      <c r="G44" s="19" t="n"/>
      <c r="H44" s="19" t="n"/>
    </row>
    <row r="45">
      <c r="A45" s="15" t="inlineStr">
        <is>
          <t>4.3.12</t>
        </is>
      </c>
      <c r="B45" s="15" t="inlineStr">
        <is>
          <t>Pernos de convergencia</t>
        </is>
      </c>
      <c r="C45" s="15" t="inlineStr">
        <is>
          <t>und</t>
        </is>
      </c>
      <c r="D45" s="19" t="n"/>
      <c r="E45" s="20" t="n"/>
      <c r="F45" s="19" t="n"/>
      <c r="G45" s="19" t="n"/>
      <c r="H45" s="19" t="n"/>
    </row>
    <row r="46">
      <c r="A46" s="15" t="inlineStr">
        <is>
          <t>4.3.14</t>
        </is>
      </c>
      <c r="B46" s="15" t="inlineStr">
        <is>
          <t>Brocal definitivo</t>
        </is>
      </c>
      <c r="C46" s="15" t="inlineStr">
        <is>
          <t>gl</t>
        </is>
      </c>
      <c r="D46" s="16" t="n">
        <v>1</v>
      </c>
      <c r="E46" s="17" t="n">
        <v>116.8831</v>
      </c>
      <c r="F46" s="18">
        <f>D46*E46</f>
        <v/>
      </c>
      <c r="G46" s="19" t="n"/>
      <c r="H46" s="19" t="n"/>
    </row>
    <row r="47">
      <c r="A47" s="13" t="inlineStr">
        <is>
          <t>4.4</t>
        </is>
      </c>
      <c r="B47" s="14" t="inlineStr">
        <is>
          <t>PIQUE 4 (TÍPICO)</t>
        </is>
      </c>
      <c r="E47" s="6" t="n"/>
    </row>
    <row r="48">
      <c r="A48" s="15" t="inlineStr">
        <is>
          <t>4.4.1</t>
        </is>
      </c>
      <c r="B48" s="15" t="inlineStr">
        <is>
          <t>Excavación pique</t>
        </is>
      </c>
      <c r="C48" s="15" t="inlineStr">
        <is>
          <t>m³</t>
        </is>
      </c>
      <c r="D48" s="16" t="n">
        <v>188.24</v>
      </c>
      <c r="E48" s="17" t="n">
        <v>2.2078</v>
      </c>
      <c r="F48" s="18">
        <f>D48*E48</f>
        <v/>
      </c>
      <c r="G48" s="19" t="n"/>
      <c r="H48" s="19" t="n"/>
    </row>
    <row r="49">
      <c r="A49" s="15" t="inlineStr">
        <is>
          <t>4.4.2</t>
        </is>
      </c>
      <c r="B49" s="15" t="inlineStr">
        <is>
          <t>Retiro y transporte material excavado</t>
        </is>
      </c>
      <c r="C49" s="15" t="inlineStr">
        <is>
          <t>m³</t>
        </is>
      </c>
      <c r="D49" s="16" t="n">
        <v>188.24</v>
      </c>
      <c r="E49" s="17" t="n">
        <v>0.9091</v>
      </c>
      <c r="F49" s="18">
        <f>D49*E49</f>
        <v/>
      </c>
      <c r="G49" s="19" t="n"/>
      <c r="H49" s="19" t="n"/>
    </row>
    <row r="50">
      <c r="A50" s="15" t="inlineStr">
        <is>
          <t>4.4.3</t>
        </is>
      </c>
      <c r="B50" s="15" t="inlineStr">
        <is>
          <t>Montaje liner pique</t>
        </is>
      </c>
      <c r="C50" s="15" t="inlineStr">
        <is>
          <t>m</t>
        </is>
      </c>
      <c r="D50" s="16" t="n">
        <v>15</v>
      </c>
      <c r="E50" s="17" t="n">
        <v>5.7143</v>
      </c>
      <c r="F50" s="18">
        <f>D50*E50</f>
        <v/>
      </c>
      <c r="G50" s="19" t="n"/>
      <c r="H50" s="19" t="n"/>
    </row>
    <row r="51">
      <c r="A51" s="15" t="inlineStr">
        <is>
          <t>4.4.4</t>
        </is>
      </c>
      <c r="B51" s="15" t="inlineStr">
        <is>
          <t>Refuerzo losa anillo fondo</t>
        </is>
      </c>
      <c r="C51" s="15" t="inlineStr">
        <is>
          <t>gl</t>
        </is>
      </c>
      <c r="D51" s="19" t="n"/>
      <c r="E51" s="20" t="n"/>
      <c r="F51" s="19" t="n"/>
      <c r="G51" s="19" t="n"/>
      <c r="H51" s="19" t="n"/>
    </row>
    <row r="52">
      <c r="A52" s="15" t="inlineStr">
        <is>
          <t>4.4.5</t>
        </is>
      </c>
      <c r="B52" s="15" t="inlineStr">
        <is>
          <t>Construcción dren</t>
        </is>
      </c>
      <c r="C52" s="15" t="inlineStr">
        <is>
          <t>gl</t>
        </is>
      </c>
      <c r="D52" s="19" t="n"/>
      <c r="E52" s="20" t="n"/>
      <c r="F52" s="19" t="n"/>
      <c r="G52" s="19" t="n"/>
      <c r="H52" s="19" t="n"/>
    </row>
    <row r="53">
      <c r="A53" s="15" t="inlineStr">
        <is>
          <t>4.4.6</t>
        </is>
      </c>
      <c r="B53" s="15" t="inlineStr">
        <is>
          <t>Terminaciones pique</t>
        </is>
      </c>
      <c r="C53" s="15" t="inlineStr">
        <is>
          <t>gl</t>
        </is>
      </c>
      <c r="D53" s="19" t="n"/>
      <c r="E53" s="20" t="n"/>
      <c r="F53" s="19" t="n"/>
      <c r="G53" s="19" t="n"/>
      <c r="H53" s="19" t="n"/>
    </row>
    <row r="54">
      <c r="A54" s="15" t="inlineStr">
        <is>
          <t>4.4.7</t>
        </is>
      </c>
      <c r="B54" s="15" t="inlineStr">
        <is>
          <t>Cobertura pique</t>
        </is>
      </c>
      <c r="C54" s="15" t="inlineStr">
        <is>
          <t>gl</t>
        </is>
      </c>
      <c r="D54" s="19" t="n"/>
      <c r="E54" s="20" t="n"/>
      <c r="F54" s="19" t="n"/>
      <c r="G54" s="19" t="n"/>
      <c r="H54" s="19" t="n"/>
    </row>
    <row r="55">
      <c r="A55" s="15" t="inlineStr">
        <is>
          <t>4.4.8</t>
        </is>
      </c>
      <c r="B55" s="15" t="inlineStr">
        <is>
          <t>Montaje escalas y plataformas</t>
        </is>
      </c>
      <c r="C55" s="15" t="inlineStr">
        <is>
          <t>gl</t>
        </is>
      </c>
      <c r="D55" s="16" t="n">
        <v>1</v>
      </c>
      <c r="E55" s="17" t="n">
        <v>83.1169</v>
      </c>
      <c r="F55" s="18">
        <f>D55*E55</f>
        <v/>
      </c>
      <c r="G55" s="19" t="n"/>
      <c r="H55" s="19" t="n"/>
    </row>
    <row r="56">
      <c r="A56" s="15" t="inlineStr">
        <is>
          <t>4.4.9</t>
        </is>
      </c>
      <c r="B56" s="15" t="inlineStr">
        <is>
          <t>Refuerzo apertura pique</t>
        </is>
      </c>
      <c r="C56" s="15" t="inlineStr">
        <is>
          <t>gl</t>
        </is>
      </c>
      <c r="D56" s="19" t="n"/>
      <c r="E56" s="20" t="n"/>
      <c r="F56" s="19" t="n"/>
      <c r="G56" s="19" t="n"/>
      <c r="H56" s="19" t="n"/>
    </row>
    <row r="57">
      <c r="A57" s="15" t="inlineStr">
        <is>
          <t>4.4.10</t>
        </is>
      </c>
      <c r="B57" s="15" t="inlineStr">
        <is>
          <t>Shotcrete</t>
        </is>
      </c>
      <c r="C57" s="15" t="inlineStr">
        <is>
          <t>m³</t>
        </is>
      </c>
      <c r="D57" s="19" t="n"/>
      <c r="E57" s="20" t="n"/>
      <c r="F57" s="19" t="n"/>
      <c r="G57" s="19" t="n"/>
      <c r="H57" s="19" t="n"/>
    </row>
    <row r="58">
      <c r="A58" s="15" t="inlineStr">
        <is>
          <t>4.4.11</t>
        </is>
      </c>
      <c r="B58" s="15" t="inlineStr">
        <is>
          <t>Malla electrosoldada</t>
        </is>
      </c>
      <c r="C58" s="15" t="inlineStr">
        <is>
          <t>kg</t>
        </is>
      </c>
      <c r="D58" s="19" t="n"/>
      <c r="E58" s="20" t="n"/>
      <c r="F58" s="19" t="n"/>
      <c r="G58" s="19" t="n"/>
      <c r="H58" s="19" t="n"/>
    </row>
    <row r="59">
      <c r="A59" s="15" t="inlineStr">
        <is>
          <t>4.4.12</t>
        </is>
      </c>
      <c r="B59" s="15" t="inlineStr">
        <is>
          <t>Pernos de convergencia</t>
        </is>
      </c>
      <c r="C59" s="15" t="inlineStr">
        <is>
          <t>und</t>
        </is>
      </c>
      <c r="D59" s="19" t="n"/>
      <c r="E59" s="20" t="n"/>
      <c r="F59" s="19" t="n"/>
      <c r="G59" s="19" t="n"/>
      <c r="H59" s="19" t="n"/>
    </row>
    <row r="60">
      <c r="A60" s="15" t="inlineStr">
        <is>
          <t>4.4.14</t>
        </is>
      </c>
      <c r="B60" s="15" t="inlineStr">
        <is>
          <t>Brocal definitivo</t>
        </is>
      </c>
      <c r="C60" s="15" t="inlineStr">
        <is>
          <t>gl</t>
        </is>
      </c>
      <c r="D60" s="16" t="n">
        <v>1</v>
      </c>
      <c r="E60" s="17" t="n">
        <v>116.8831</v>
      </c>
      <c r="F60" s="18">
        <f>D60*E60</f>
        <v/>
      </c>
      <c r="G60" s="19" t="n"/>
      <c r="H60" s="19" t="n"/>
    </row>
    <row r="61">
      <c r="A61" s="13" t="inlineStr">
        <is>
          <t>4.5</t>
        </is>
      </c>
      <c r="B61" s="14" t="inlineStr">
        <is>
          <t>PIQUE 5 (TÍPICO)</t>
        </is>
      </c>
      <c r="E61" s="6" t="n"/>
    </row>
    <row r="62">
      <c r="A62" s="15" t="inlineStr">
        <is>
          <t>4.5.1</t>
        </is>
      </c>
      <c r="B62" s="15" t="inlineStr">
        <is>
          <t>Excavación pique</t>
        </is>
      </c>
      <c r="C62" s="15" t="inlineStr">
        <is>
          <t>m³</t>
        </is>
      </c>
      <c r="D62" s="16" t="n">
        <v>191.51</v>
      </c>
      <c r="E62" s="17" t="n">
        <v>2.2078</v>
      </c>
      <c r="F62" s="18">
        <f>D62*E62</f>
        <v/>
      </c>
      <c r="G62" s="19" t="n"/>
      <c r="H62" s="19" t="n"/>
    </row>
    <row r="63">
      <c r="A63" s="15" t="inlineStr">
        <is>
          <t>4.5.2</t>
        </is>
      </c>
      <c r="B63" s="15" t="inlineStr">
        <is>
          <t>Retiro y transporte material excavado</t>
        </is>
      </c>
      <c r="C63" s="15" t="inlineStr">
        <is>
          <t>m³</t>
        </is>
      </c>
      <c r="D63" s="16" t="n">
        <v>191.51</v>
      </c>
      <c r="E63" s="17" t="n">
        <v>0.9091</v>
      </c>
      <c r="F63" s="18">
        <f>D63*E63</f>
        <v/>
      </c>
      <c r="G63" s="19" t="n"/>
      <c r="H63" s="19" t="n"/>
    </row>
    <row r="64">
      <c r="A64" s="15" t="inlineStr">
        <is>
          <t>4.5.3</t>
        </is>
      </c>
      <c r="B64" s="15" t="inlineStr">
        <is>
          <t>Montaje liner pique</t>
        </is>
      </c>
      <c r="C64" s="15" t="inlineStr">
        <is>
          <t>m</t>
        </is>
      </c>
      <c r="D64" s="16" t="n">
        <v>15.2</v>
      </c>
      <c r="E64" s="17" t="n">
        <v>5.7143</v>
      </c>
      <c r="F64" s="18">
        <f>D64*E64</f>
        <v/>
      </c>
      <c r="G64" s="19" t="n"/>
      <c r="H64" s="19" t="n"/>
    </row>
    <row r="65">
      <c r="A65" s="15" t="inlineStr">
        <is>
          <t>4.5.4</t>
        </is>
      </c>
      <c r="B65" s="15" t="inlineStr">
        <is>
          <t>Refuerzo losa anillo fondo</t>
        </is>
      </c>
      <c r="C65" s="15" t="inlineStr">
        <is>
          <t>gl</t>
        </is>
      </c>
      <c r="D65" s="19" t="n"/>
      <c r="E65" s="20" t="n"/>
      <c r="F65" s="19" t="n"/>
      <c r="G65" s="19" t="n"/>
      <c r="H65" s="19" t="n"/>
    </row>
    <row r="66">
      <c r="A66" s="15" t="inlineStr">
        <is>
          <t>4.5.5</t>
        </is>
      </c>
      <c r="B66" s="15" t="inlineStr">
        <is>
          <t>Construcción dren</t>
        </is>
      </c>
      <c r="C66" s="15" t="inlineStr">
        <is>
          <t>gl</t>
        </is>
      </c>
      <c r="D66" s="19" t="n"/>
      <c r="E66" s="20" t="n"/>
      <c r="F66" s="19" t="n"/>
      <c r="G66" s="19" t="n"/>
      <c r="H66" s="19" t="n"/>
    </row>
    <row r="67">
      <c r="A67" s="15" t="inlineStr">
        <is>
          <t>4.5.6</t>
        </is>
      </c>
      <c r="B67" s="15" t="inlineStr">
        <is>
          <t>Terminaciones pique</t>
        </is>
      </c>
      <c r="C67" s="15" t="inlineStr">
        <is>
          <t>gl</t>
        </is>
      </c>
      <c r="D67" s="19" t="n"/>
      <c r="E67" s="20" t="n"/>
      <c r="F67" s="19" t="n"/>
      <c r="G67" s="19" t="n"/>
      <c r="H67" s="19" t="n"/>
    </row>
    <row r="68">
      <c r="A68" s="15" t="inlineStr">
        <is>
          <t>4.5.7</t>
        </is>
      </c>
      <c r="B68" s="15" t="inlineStr">
        <is>
          <t>Cobertura pique</t>
        </is>
      </c>
      <c r="C68" s="15" t="inlineStr">
        <is>
          <t>gl</t>
        </is>
      </c>
      <c r="D68" s="19" t="n"/>
      <c r="E68" s="20" t="n"/>
      <c r="F68" s="19" t="n"/>
      <c r="G68" s="19" t="n"/>
      <c r="H68" s="19" t="n"/>
    </row>
    <row r="69">
      <c r="A69" s="15" t="inlineStr">
        <is>
          <t>4.5.8</t>
        </is>
      </c>
      <c r="B69" s="15" t="inlineStr">
        <is>
          <t>Montaje escalas y plataformas</t>
        </is>
      </c>
      <c r="C69" s="15" t="inlineStr">
        <is>
          <t>gl</t>
        </is>
      </c>
      <c r="D69" s="16" t="n">
        <v>1</v>
      </c>
      <c r="E69" s="17" t="n">
        <v>83.1169</v>
      </c>
      <c r="F69" s="18">
        <f>D69*E69</f>
        <v/>
      </c>
      <c r="G69" s="19" t="n"/>
      <c r="H69" s="19" t="n"/>
    </row>
    <row r="70">
      <c r="A70" s="15" t="inlineStr">
        <is>
          <t>4.5.9</t>
        </is>
      </c>
      <c r="B70" s="15" t="inlineStr">
        <is>
          <t>Refuerzo apertura pique</t>
        </is>
      </c>
      <c r="C70" s="15" t="inlineStr">
        <is>
          <t>gl</t>
        </is>
      </c>
      <c r="D70" s="19" t="n"/>
      <c r="E70" s="20" t="n"/>
      <c r="F70" s="19" t="n"/>
      <c r="G70" s="19" t="n"/>
      <c r="H70" s="19" t="n"/>
    </row>
    <row r="71">
      <c r="A71" s="15" t="inlineStr">
        <is>
          <t>4.5.10</t>
        </is>
      </c>
      <c r="B71" s="15" t="inlineStr">
        <is>
          <t>Shotcrete</t>
        </is>
      </c>
      <c r="C71" s="15" t="inlineStr">
        <is>
          <t>m³</t>
        </is>
      </c>
      <c r="D71" s="19" t="n"/>
      <c r="E71" s="20" t="n"/>
      <c r="F71" s="19" t="n"/>
      <c r="G71" s="19" t="n"/>
      <c r="H71" s="19" t="n"/>
    </row>
    <row r="72">
      <c r="A72" s="15" t="inlineStr">
        <is>
          <t>4.5.11</t>
        </is>
      </c>
      <c r="B72" s="15" t="inlineStr">
        <is>
          <t>Malla electrosoldada</t>
        </is>
      </c>
      <c r="C72" s="15" t="inlineStr">
        <is>
          <t>kg</t>
        </is>
      </c>
      <c r="D72" s="19" t="n"/>
      <c r="E72" s="20" t="n"/>
      <c r="F72" s="19" t="n"/>
      <c r="G72" s="19" t="n"/>
      <c r="H72" s="19" t="n"/>
    </row>
    <row r="73">
      <c r="A73" s="15" t="inlineStr">
        <is>
          <t>4.5.12</t>
        </is>
      </c>
      <c r="B73" s="15" t="inlineStr">
        <is>
          <t>Pernos de convergencia</t>
        </is>
      </c>
      <c r="C73" s="15" t="inlineStr">
        <is>
          <t>und</t>
        </is>
      </c>
      <c r="D73" s="19" t="n"/>
      <c r="E73" s="20" t="n"/>
      <c r="F73" s="19" t="n"/>
      <c r="G73" s="19" t="n"/>
      <c r="H73" s="19" t="n"/>
    </row>
    <row r="74">
      <c r="A74" s="15" t="inlineStr">
        <is>
          <t>4.5.14</t>
        </is>
      </c>
      <c r="B74" s="15" t="inlineStr">
        <is>
          <t>Brocal definitivo</t>
        </is>
      </c>
      <c r="C74" s="15" t="inlineStr">
        <is>
          <t>gl</t>
        </is>
      </c>
      <c r="D74" s="16" t="n">
        <v>1</v>
      </c>
      <c r="E74" s="17" t="n">
        <v>116.8831</v>
      </c>
      <c r="F74" s="18">
        <f>D74*E74</f>
        <v/>
      </c>
      <c r="G74" s="19" t="n"/>
      <c r="H74" s="19" t="n"/>
    </row>
    <row r="75">
      <c r="A75" s="13" t="inlineStr">
        <is>
          <t>4.6</t>
        </is>
      </c>
      <c r="B75" s="14" t="inlineStr">
        <is>
          <t>PIQUE 6 (TÍPICO)</t>
        </is>
      </c>
      <c r="E75" s="6" t="n"/>
    </row>
    <row r="76">
      <c r="A76" s="15" t="inlineStr">
        <is>
          <t>4.6.1</t>
        </is>
      </c>
      <c r="B76" s="15" t="inlineStr">
        <is>
          <t>Excavación pique</t>
        </is>
      </c>
      <c r="C76" s="15" t="inlineStr">
        <is>
          <t>m³</t>
        </is>
      </c>
      <c r="D76" s="16" t="n">
        <v>194.9</v>
      </c>
      <c r="E76" s="17" t="n">
        <v>2.2078</v>
      </c>
      <c r="F76" s="18">
        <f>D76*E76</f>
        <v/>
      </c>
      <c r="G76" s="19" t="n"/>
      <c r="H76" s="19" t="n"/>
    </row>
    <row r="77">
      <c r="A77" s="15" t="inlineStr">
        <is>
          <t>4.6.2</t>
        </is>
      </c>
      <c r="B77" s="15" t="inlineStr">
        <is>
          <t>Retiro y transporte material excavado</t>
        </is>
      </c>
      <c r="C77" s="15" t="inlineStr">
        <is>
          <t>m³</t>
        </is>
      </c>
      <c r="D77" s="16" t="n">
        <v>194.9</v>
      </c>
      <c r="E77" s="17" t="n">
        <v>0.9091</v>
      </c>
      <c r="F77" s="18">
        <f>D77*E77</f>
        <v/>
      </c>
      <c r="G77" s="19" t="n"/>
      <c r="H77" s="19" t="n"/>
    </row>
    <row r="78">
      <c r="A78" s="15" t="inlineStr">
        <is>
          <t>4.6.3</t>
        </is>
      </c>
      <c r="B78" s="15" t="inlineStr">
        <is>
          <t>Montaje liner pique</t>
        </is>
      </c>
      <c r="C78" s="15" t="inlineStr">
        <is>
          <t>m</t>
        </is>
      </c>
      <c r="D78" s="16" t="n">
        <v>15.5</v>
      </c>
      <c r="E78" s="17" t="n">
        <v>5.7143</v>
      </c>
      <c r="F78" s="18">
        <f>D78*E78</f>
        <v/>
      </c>
      <c r="G78" s="19" t="n"/>
      <c r="H78" s="19" t="n"/>
    </row>
    <row r="79">
      <c r="A79" s="15" t="inlineStr">
        <is>
          <t>4.6.4</t>
        </is>
      </c>
      <c r="B79" s="15" t="inlineStr">
        <is>
          <t>Refuerzo losa anillo fondo</t>
        </is>
      </c>
      <c r="C79" s="15" t="inlineStr">
        <is>
          <t>gl</t>
        </is>
      </c>
      <c r="D79" s="19" t="n"/>
      <c r="E79" s="20" t="n"/>
      <c r="F79" s="19" t="n"/>
      <c r="G79" s="19" t="n"/>
      <c r="H79" s="19" t="n"/>
    </row>
    <row r="80">
      <c r="A80" s="15" t="inlineStr">
        <is>
          <t>4.6.5</t>
        </is>
      </c>
      <c r="B80" s="15" t="inlineStr">
        <is>
          <t>Construcción dren</t>
        </is>
      </c>
      <c r="C80" s="15" t="inlineStr">
        <is>
          <t>gl</t>
        </is>
      </c>
      <c r="D80" s="19" t="n"/>
      <c r="E80" s="20" t="n"/>
      <c r="F80" s="19" t="n"/>
      <c r="G80" s="19" t="n"/>
      <c r="H80" s="19" t="n"/>
    </row>
    <row r="81">
      <c r="A81" s="15" t="inlineStr">
        <is>
          <t>4.6.6</t>
        </is>
      </c>
      <c r="B81" s="15" t="inlineStr">
        <is>
          <t>Terminaciones pique</t>
        </is>
      </c>
      <c r="C81" s="15" t="inlineStr">
        <is>
          <t>gl</t>
        </is>
      </c>
      <c r="D81" s="19" t="n"/>
      <c r="E81" s="20" t="n"/>
      <c r="F81" s="19" t="n"/>
      <c r="G81" s="19" t="n"/>
      <c r="H81" s="19" t="n"/>
    </row>
    <row r="82">
      <c r="A82" s="15" t="inlineStr">
        <is>
          <t>4.6.7</t>
        </is>
      </c>
      <c r="B82" s="15" t="inlineStr">
        <is>
          <t>Cobertura pique</t>
        </is>
      </c>
      <c r="C82" s="15" t="inlineStr">
        <is>
          <t>gl</t>
        </is>
      </c>
      <c r="D82" s="19" t="n"/>
      <c r="E82" s="20" t="n"/>
      <c r="F82" s="19" t="n"/>
      <c r="G82" s="19" t="n"/>
      <c r="H82" s="19" t="n"/>
    </row>
    <row r="83">
      <c r="A83" s="15" t="inlineStr">
        <is>
          <t>4.6.8</t>
        </is>
      </c>
      <c r="B83" s="15" t="inlineStr">
        <is>
          <t>Montaje escalas y plataformas</t>
        </is>
      </c>
      <c r="C83" s="15" t="inlineStr">
        <is>
          <t>gl</t>
        </is>
      </c>
      <c r="D83" s="16" t="n">
        <v>1</v>
      </c>
      <c r="E83" s="17" t="n">
        <v>83.1169</v>
      </c>
      <c r="F83" s="18">
        <f>D83*E83</f>
        <v/>
      </c>
      <c r="G83" s="19" t="n"/>
      <c r="H83" s="19" t="n"/>
    </row>
    <row r="84">
      <c r="A84" s="15" t="inlineStr">
        <is>
          <t>4.6.9</t>
        </is>
      </c>
      <c r="B84" s="15" t="inlineStr">
        <is>
          <t>Refuerzo apertura pique</t>
        </is>
      </c>
      <c r="C84" s="15" t="inlineStr">
        <is>
          <t>gl</t>
        </is>
      </c>
      <c r="D84" s="19" t="n"/>
      <c r="E84" s="20" t="n"/>
      <c r="F84" s="19" t="n"/>
      <c r="G84" s="19" t="n"/>
      <c r="H84" s="19" t="n"/>
    </row>
    <row r="85">
      <c r="A85" s="15" t="inlineStr">
        <is>
          <t>4.6.10</t>
        </is>
      </c>
      <c r="B85" s="15" t="inlineStr">
        <is>
          <t>Shotcrete</t>
        </is>
      </c>
      <c r="C85" s="15" t="inlineStr">
        <is>
          <t>m³</t>
        </is>
      </c>
      <c r="D85" s="19" t="n"/>
      <c r="E85" s="20" t="n"/>
      <c r="F85" s="19" t="n"/>
      <c r="G85" s="19" t="n"/>
      <c r="H85" s="19" t="n"/>
    </row>
    <row r="86">
      <c r="A86" s="15" t="inlineStr">
        <is>
          <t>4.6.11</t>
        </is>
      </c>
      <c r="B86" s="15" t="inlineStr">
        <is>
          <t>Malla electrosoldada</t>
        </is>
      </c>
      <c r="C86" s="15" t="inlineStr">
        <is>
          <t>kg</t>
        </is>
      </c>
      <c r="D86" s="19" t="n"/>
      <c r="E86" s="20" t="n"/>
      <c r="F86" s="19" t="n"/>
      <c r="G86" s="19" t="n"/>
      <c r="H86" s="19" t="n"/>
    </row>
    <row r="87">
      <c r="A87" s="15" t="inlineStr">
        <is>
          <t>4.6.12</t>
        </is>
      </c>
      <c r="B87" s="15" t="inlineStr">
        <is>
          <t>Pernos de convergencia</t>
        </is>
      </c>
      <c r="C87" s="15" t="inlineStr">
        <is>
          <t>und</t>
        </is>
      </c>
      <c r="D87" s="19" t="n"/>
      <c r="E87" s="20" t="n"/>
      <c r="F87" s="19" t="n"/>
      <c r="G87" s="19" t="n"/>
      <c r="H87" s="19" t="n"/>
    </row>
    <row r="88">
      <c r="A88" s="15" t="inlineStr">
        <is>
          <t>4.6.14</t>
        </is>
      </c>
      <c r="B88" s="15" t="inlineStr">
        <is>
          <t>Brocal definitivo</t>
        </is>
      </c>
      <c r="C88" s="15" t="inlineStr">
        <is>
          <t>gl</t>
        </is>
      </c>
      <c r="D88" s="16" t="n">
        <v>1</v>
      </c>
      <c r="E88" s="17" t="n">
        <v>116.8831</v>
      </c>
      <c r="F88" s="18">
        <f>D88*E88</f>
        <v/>
      </c>
      <c r="G88" s="19" t="n"/>
      <c r="H88" s="19" t="n"/>
    </row>
    <row r="89">
      <c r="A89" s="13" t="inlineStr">
        <is>
          <t>4.7</t>
        </is>
      </c>
      <c r="B89" s="14" t="inlineStr">
        <is>
          <t>PIQUE 7 (TÍPICO)</t>
        </is>
      </c>
      <c r="E89" s="6" t="n"/>
    </row>
    <row r="90">
      <c r="A90" s="15" t="inlineStr">
        <is>
          <t>4.7.1</t>
        </is>
      </c>
      <c r="B90" s="15" t="inlineStr">
        <is>
          <t>Excavación pique</t>
        </is>
      </c>
      <c r="C90" s="15" t="inlineStr">
        <is>
          <t>m³</t>
        </is>
      </c>
      <c r="D90" s="16" t="n">
        <v>196.29</v>
      </c>
      <c r="E90" s="17" t="n">
        <v>2.2078</v>
      </c>
      <c r="F90" s="18">
        <f>D90*E90</f>
        <v/>
      </c>
      <c r="G90" s="19" t="n"/>
      <c r="H90" s="19" t="n"/>
    </row>
    <row r="91">
      <c r="A91" s="15" t="inlineStr">
        <is>
          <t>4.7.2</t>
        </is>
      </c>
      <c r="B91" s="15" t="inlineStr">
        <is>
          <t>Retiro y transporte material excavado</t>
        </is>
      </c>
      <c r="C91" s="15" t="inlineStr">
        <is>
          <t>m³</t>
        </is>
      </c>
      <c r="D91" s="16" t="n">
        <v>196.29</v>
      </c>
      <c r="E91" s="17" t="n">
        <v>0.9091</v>
      </c>
      <c r="F91" s="18">
        <f>D91*E91</f>
        <v/>
      </c>
      <c r="G91" s="19" t="n"/>
      <c r="H91" s="19" t="n"/>
    </row>
    <row r="92">
      <c r="A92" s="15" t="inlineStr">
        <is>
          <t>4.7.3</t>
        </is>
      </c>
      <c r="B92" s="15" t="inlineStr">
        <is>
          <t>Montaje liner pique</t>
        </is>
      </c>
      <c r="C92" s="15" t="inlineStr">
        <is>
          <t>m</t>
        </is>
      </c>
      <c r="D92" s="16" t="n">
        <v>15.6</v>
      </c>
      <c r="E92" s="17" t="n">
        <v>5.7143</v>
      </c>
      <c r="F92" s="18">
        <f>D92*E92</f>
        <v/>
      </c>
      <c r="G92" s="19" t="n"/>
      <c r="H92" s="19" t="n"/>
    </row>
    <row r="93">
      <c r="A93" s="15" t="inlineStr">
        <is>
          <t>4.7.4</t>
        </is>
      </c>
      <c r="B93" s="15" t="inlineStr">
        <is>
          <t>Refuerzo losa anillo fondo</t>
        </is>
      </c>
      <c r="C93" s="15" t="inlineStr">
        <is>
          <t>gl</t>
        </is>
      </c>
      <c r="D93" s="19" t="n"/>
      <c r="E93" s="20" t="n"/>
      <c r="F93" s="19" t="n"/>
      <c r="G93" s="19" t="n"/>
      <c r="H93" s="19" t="n"/>
    </row>
    <row r="94">
      <c r="A94" s="15" t="inlineStr">
        <is>
          <t>4.7.5</t>
        </is>
      </c>
      <c r="B94" s="15" t="inlineStr">
        <is>
          <t>Construcción dren</t>
        </is>
      </c>
      <c r="C94" s="15" t="inlineStr">
        <is>
          <t>gl</t>
        </is>
      </c>
      <c r="D94" s="19" t="n"/>
      <c r="E94" s="20" t="n"/>
      <c r="F94" s="19" t="n"/>
      <c r="G94" s="19" t="n"/>
      <c r="H94" s="19" t="n"/>
    </row>
    <row r="95">
      <c r="A95" s="15" t="inlineStr">
        <is>
          <t>4.7.6</t>
        </is>
      </c>
      <c r="B95" s="15" t="inlineStr">
        <is>
          <t>Terminaciones pique</t>
        </is>
      </c>
      <c r="C95" s="15" t="inlineStr">
        <is>
          <t>gl</t>
        </is>
      </c>
      <c r="D95" s="19" t="n"/>
      <c r="E95" s="20" t="n"/>
      <c r="F95" s="19" t="n"/>
      <c r="G95" s="19" t="n"/>
      <c r="H95" s="19" t="n"/>
    </row>
    <row r="96">
      <c r="A96" s="15" t="inlineStr">
        <is>
          <t>4.7.7</t>
        </is>
      </c>
      <c r="B96" s="15" t="inlineStr">
        <is>
          <t>Cobertura pique</t>
        </is>
      </c>
      <c r="C96" s="15" t="inlineStr">
        <is>
          <t>gl</t>
        </is>
      </c>
      <c r="D96" s="19" t="n"/>
      <c r="E96" s="20" t="n"/>
      <c r="F96" s="19" t="n"/>
      <c r="G96" s="19" t="n"/>
      <c r="H96" s="19" t="n"/>
    </row>
    <row r="97">
      <c r="A97" s="15" t="inlineStr">
        <is>
          <t>4.7.8</t>
        </is>
      </c>
      <c r="B97" s="15" t="inlineStr">
        <is>
          <t>Montaje escalas y plataformas</t>
        </is>
      </c>
      <c r="C97" s="15" t="inlineStr">
        <is>
          <t>gl</t>
        </is>
      </c>
      <c r="D97" s="16" t="n">
        <v>1</v>
      </c>
      <c r="E97" s="17" t="n">
        <v>83.1169</v>
      </c>
      <c r="F97" s="18">
        <f>D97*E97</f>
        <v/>
      </c>
      <c r="G97" s="19" t="n"/>
      <c r="H97" s="19" t="n"/>
    </row>
    <row r="98">
      <c r="A98" s="15" t="inlineStr">
        <is>
          <t>4.7.9</t>
        </is>
      </c>
      <c r="B98" s="15" t="inlineStr">
        <is>
          <t>Refuerzo apertura pique</t>
        </is>
      </c>
      <c r="C98" s="15" t="inlineStr">
        <is>
          <t>gl</t>
        </is>
      </c>
      <c r="D98" s="19" t="n"/>
      <c r="E98" s="20" t="n"/>
      <c r="F98" s="19" t="n"/>
      <c r="G98" s="19" t="n"/>
      <c r="H98" s="19" t="n"/>
    </row>
    <row r="99">
      <c r="A99" s="15" t="inlineStr">
        <is>
          <t>4.7.10</t>
        </is>
      </c>
      <c r="B99" s="15" t="inlineStr">
        <is>
          <t>Shotcrete</t>
        </is>
      </c>
      <c r="C99" s="15" t="inlineStr">
        <is>
          <t>m³</t>
        </is>
      </c>
      <c r="D99" s="19" t="n"/>
      <c r="E99" s="20" t="n"/>
      <c r="F99" s="19" t="n"/>
      <c r="G99" s="19" t="n"/>
      <c r="H99" s="19" t="n"/>
    </row>
    <row r="100">
      <c r="A100" s="15" t="inlineStr">
        <is>
          <t>4.7.11</t>
        </is>
      </c>
      <c r="B100" s="15" t="inlineStr">
        <is>
          <t>Malla electrosoldada</t>
        </is>
      </c>
      <c r="C100" s="15" t="inlineStr">
        <is>
          <t>kg</t>
        </is>
      </c>
      <c r="D100" s="19" t="n"/>
      <c r="E100" s="20" t="n"/>
      <c r="F100" s="19" t="n"/>
      <c r="G100" s="19" t="n"/>
      <c r="H100" s="19" t="n"/>
    </row>
    <row r="101">
      <c r="A101" s="15" t="inlineStr">
        <is>
          <t>4.7.12</t>
        </is>
      </c>
      <c r="B101" s="15" t="inlineStr">
        <is>
          <t>Pernos de convergencia</t>
        </is>
      </c>
      <c r="C101" s="15" t="inlineStr">
        <is>
          <t>und</t>
        </is>
      </c>
      <c r="D101" s="19" t="n"/>
      <c r="E101" s="20" t="n"/>
      <c r="F101" s="19" t="n"/>
      <c r="G101" s="19" t="n"/>
      <c r="H101" s="19" t="n"/>
    </row>
    <row r="102">
      <c r="A102" s="15" t="inlineStr">
        <is>
          <t>4.7.14</t>
        </is>
      </c>
      <c r="B102" s="15" t="inlineStr">
        <is>
          <t>Brocal definitivo</t>
        </is>
      </c>
      <c r="C102" s="15" t="inlineStr">
        <is>
          <t>gl</t>
        </is>
      </c>
      <c r="D102" s="16" t="n">
        <v>1</v>
      </c>
      <c r="E102" s="17" t="n">
        <v>116.8831</v>
      </c>
      <c r="F102" s="18">
        <f>D102*E102</f>
        <v/>
      </c>
      <c r="G102" s="19" t="n"/>
      <c r="H102" s="19" t="n"/>
    </row>
    <row r="103">
      <c r="A103" s="13" t="inlineStr">
        <is>
          <t>4.8</t>
        </is>
      </c>
      <c r="B103" s="14" t="inlineStr">
        <is>
          <t>PIQUE 8 (TÍPICO)</t>
        </is>
      </c>
      <c r="E103" s="6" t="n"/>
    </row>
    <row r="104">
      <c r="A104" s="15" t="inlineStr">
        <is>
          <t>4.8.1</t>
        </is>
      </c>
      <c r="B104" s="15" t="inlineStr">
        <is>
          <t>Excavación pique</t>
        </is>
      </c>
      <c r="C104" s="15" t="inlineStr">
        <is>
          <t>m³</t>
        </is>
      </c>
      <c r="D104" s="16" t="n">
        <v>181.08</v>
      </c>
      <c r="E104" s="17" t="n">
        <v>2.2078</v>
      </c>
      <c r="F104" s="18">
        <f>D104*E104</f>
        <v/>
      </c>
      <c r="G104" s="19" t="n"/>
      <c r="H104" s="19" t="n"/>
    </row>
    <row r="105">
      <c r="A105" s="15" t="inlineStr">
        <is>
          <t>4.8.2</t>
        </is>
      </c>
      <c r="B105" s="15" t="inlineStr">
        <is>
          <t>Retiro y transporte material excavado</t>
        </is>
      </c>
      <c r="C105" s="15" t="inlineStr">
        <is>
          <t>m³</t>
        </is>
      </c>
      <c r="D105" s="16" t="n">
        <v>181.08</v>
      </c>
      <c r="E105" s="17" t="n">
        <v>0.9091</v>
      </c>
      <c r="F105" s="18">
        <f>D105*E105</f>
        <v/>
      </c>
      <c r="G105" s="19" t="n"/>
      <c r="H105" s="19" t="n"/>
    </row>
    <row r="106">
      <c r="A106" s="15" t="inlineStr">
        <is>
          <t>4.8.3</t>
        </is>
      </c>
      <c r="B106" s="15" t="inlineStr">
        <is>
          <t>Montaje liner pique</t>
        </is>
      </c>
      <c r="C106" s="15" t="inlineStr">
        <is>
          <t>m</t>
        </is>
      </c>
      <c r="D106" s="16" t="n">
        <v>14.4</v>
      </c>
      <c r="E106" s="17" t="n">
        <v>5.7143</v>
      </c>
      <c r="F106" s="18">
        <f>D106*E106</f>
        <v/>
      </c>
      <c r="G106" s="19" t="n"/>
      <c r="H106" s="19" t="n"/>
    </row>
    <row r="107">
      <c r="A107" s="15" t="inlineStr">
        <is>
          <t>4.8.4</t>
        </is>
      </c>
      <c r="B107" s="15" t="inlineStr">
        <is>
          <t>Refuerzo losa anillo fondo</t>
        </is>
      </c>
      <c r="C107" s="15" t="inlineStr">
        <is>
          <t>gl</t>
        </is>
      </c>
      <c r="D107" s="19" t="n"/>
      <c r="E107" s="20" t="n"/>
      <c r="F107" s="19" t="n"/>
      <c r="G107" s="19" t="n"/>
      <c r="H107" s="19" t="n"/>
    </row>
    <row r="108">
      <c r="A108" s="15" t="inlineStr">
        <is>
          <t>4.8.5</t>
        </is>
      </c>
      <c r="B108" s="15" t="inlineStr">
        <is>
          <t>Construcción dren</t>
        </is>
      </c>
      <c r="C108" s="15" t="inlineStr">
        <is>
          <t>gl</t>
        </is>
      </c>
      <c r="D108" s="19" t="n"/>
      <c r="E108" s="20" t="n"/>
      <c r="F108" s="19" t="n"/>
      <c r="G108" s="19" t="n"/>
      <c r="H108" s="19" t="n"/>
    </row>
    <row r="109">
      <c r="A109" s="15" t="inlineStr">
        <is>
          <t>4.8.6</t>
        </is>
      </c>
      <c r="B109" s="15" t="inlineStr">
        <is>
          <t>Terminaciones pique</t>
        </is>
      </c>
      <c r="C109" s="15" t="inlineStr">
        <is>
          <t>gl</t>
        </is>
      </c>
      <c r="D109" s="19" t="n"/>
      <c r="E109" s="20" t="n"/>
      <c r="F109" s="19" t="n"/>
      <c r="G109" s="19" t="n"/>
      <c r="H109" s="19" t="n"/>
    </row>
    <row r="110">
      <c r="A110" s="15" t="inlineStr">
        <is>
          <t>4.8.7</t>
        </is>
      </c>
      <c r="B110" s="15" t="inlineStr">
        <is>
          <t>Cobertura pique</t>
        </is>
      </c>
      <c r="C110" s="15" t="inlineStr">
        <is>
          <t>gl</t>
        </is>
      </c>
      <c r="D110" s="19" t="n"/>
      <c r="E110" s="20" t="n"/>
      <c r="F110" s="19" t="n"/>
      <c r="G110" s="19" t="n"/>
      <c r="H110" s="19" t="n"/>
    </row>
    <row r="111">
      <c r="A111" s="15" t="inlineStr">
        <is>
          <t>4.8.8</t>
        </is>
      </c>
      <c r="B111" s="15" t="inlineStr">
        <is>
          <t>Montaje escalas y plataformas</t>
        </is>
      </c>
      <c r="C111" s="15" t="inlineStr">
        <is>
          <t>gl</t>
        </is>
      </c>
      <c r="D111" s="16" t="n">
        <v>1</v>
      </c>
      <c r="E111" s="17" t="n">
        <v>83.1169</v>
      </c>
      <c r="F111" s="18">
        <f>D111*E111</f>
        <v/>
      </c>
      <c r="G111" s="19" t="n"/>
      <c r="H111" s="19" t="n"/>
    </row>
    <row r="112">
      <c r="A112" s="15" t="inlineStr">
        <is>
          <t>4.8.9</t>
        </is>
      </c>
      <c r="B112" s="15" t="inlineStr">
        <is>
          <t>Refuerzo apertura pique</t>
        </is>
      </c>
      <c r="C112" s="15" t="inlineStr">
        <is>
          <t>gl</t>
        </is>
      </c>
      <c r="D112" s="19" t="n"/>
      <c r="E112" s="20" t="n"/>
      <c r="F112" s="19" t="n"/>
      <c r="G112" s="19" t="n"/>
      <c r="H112" s="19" t="n"/>
    </row>
    <row r="113">
      <c r="A113" s="15" t="inlineStr">
        <is>
          <t>4.8.10</t>
        </is>
      </c>
      <c r="B113" s="15" t="inlineStr">
        <is>
          <t>Shotcrete</t>
        </is>
      </c>
      <c r="C113" s="15" t="inlineStr">
        <is>
          <t>m³</t>
        </is>
      </c>
      <c r="D113" s="19" t="n"/>
      <c r="E113" s="20" t="n"/>
      <c r="F113" s="19" t="n"/>
      <c r="G113" s="19" t="n"/>
      <c r="H113" s="19" t="n"/>
    </row>
    <row r="114">
      <c r="A114" s="15" t="inlineStr">
        <is>
          <t>4.8.11</t>
        </is>
      </c>
      <c r="B114" s="15" t="inlineStr">
        <is>
          <t>Malla electrosoldada</t>
        </is>
      </c>
      <c r="C114" s="15" t="inlineStr">
        <is>
          <t>kg</t>
        </is>
      </c>
      <c r="D114" s="19" t="n"/>
      <c r="E114" s="20" t="n"/>
      <c r="F114" s="19" t="n"/>
      <c r="G114" s="19" t="n"/>
      <c r="H114" s="19" t="n"/>
    </row>
    <row r="115">
      <c r="A115" s="15" t="inlineStr">
        <is>
          <t>4.8.12</t>
        </is>
      </c>
      <c r="B115" s="15" t="inlineStr">
        <is>
          <t>Pernos de convergencia</t>
        </is>
      </c>
      <c r="C115" s="15" t="inlineStr">
        <is>
          <t>und</t>
        </is>
      </c>
      <c r="D115" s="19" t="n"/>
      <c r="E115" s="20" t="n"/>
      <c r="F115" s="19" t="n"/>
      <c r="G115" s="19" t="n"/>
      <c r="H115" s="19" t="n"/>
    </row>
    <row r="116">
      <c r="A116" s="15" t="inlineStr">
        <is>
          <t>4.8.14</t>
        </is>
      </c>
      <c r="B116" s="15" t="inlineStr">
        <is>
          <t>Brocal definitivo</t>
        </is>
      </c>
      <c r="C116" s="15" t="inlineStr">
        <is>
          <t>gl</t>
        </is>
      </c>
      <c r="D116" s="16" t="n">
        <v>1</v>
      </c>
      <c r="E116" s="17" t="n">
        <v>116.8831</v>
      </c>
      <c r="F116" s="18">
        <f>D116*E116</f>
        <v/>
      </c>
      <c r="G116" s="19" t="n"/>
      <c r="H116" s="19" t="n"/>
    </row>
    <row r="117">
      <c r="A117" s="13" t="inlineStr">
        <is>
          <t>4.9</t>
        </is>
      </c>
      <c r="B117" s="14" t="inlineStr">
        <is>
          <t>PIQUE 9 (SS PROVIDENCIA)</t>
        </is>
      </c>
      <c r="E117" s="6" t="n"/>
    </row>
    <row r="118">
      <c r="A118" s="15" t="inlineStr">
        <is>
          <t>4.9.1</t>
        </is>
      </c>
      <c r="B118" s="15" t="inlineStr">
        <is>
          <t>Excavación pique</t>
        </is>
      </c>
      <c r="C118" s="15" t="inlineStr">
        <is>
          <t>m³</t>
        </is>
      </c>
      <c r="D118" s="16" t="n">
        <v>113.85</v>
      </c>
      <c r="E118" s="17" t="n">
        <v>2.2078</v>
      </c>
      <c r="F118" s="18">
        <f>D118*E118</f>
        <v/>
      </c>
      <c r="G118" s="19" t="n"/>
      <c r="H118" s="19" t="n"/>
    </row>
    <row r="119">
      <c r="A119" s="15" t="inlineStr">
        <is>
          <t>4.9.2</t>
        </is>
      </c>
      <c r="B119" s="15" t="inlineStr">
        <is>
          <t>Retiro y transporte material excavado</t>
        </is>
      </c>
      <c r="C119" s="15" t="inlineStr">
        <is>
          <t>m³</t>
        </is>
      </c>
      <c r="D119" s="16" t="n">
        <v>113.85</v>
      </c>
      <c r="E119" s="17" t="n">
        <v>0.9091</v>
      </c>
      <c r="F119" s="18">
        <f>D119*E119</f>
        <v/>
      </c>
      <c r="G119" s="19" t="n"/>
      <c r="H119" s="19" t="n"/>
    </row>
    <row r="120">
      <c r="A120" s="15" t="inlineStr">
        <is>
          <t>4.9.3</t>
        </is>
      </c>
      <c r="B120" s="15" t="inlineStr">
        <is>
          <t>Montaje liner pique</t>
        </is>
      </c>
      <c r="C120" s="15" t="inlineStr">
        <is>
          <t>m</t>
        </is>
      </c>
      <c r="D120" s="16" t="n">
        <v>9.1</v>
      </c>
      <c r="E120" s="17" t="n">
        <v>5.7143</v>
      </c>
      <c r="F120" s="18">
        <f>D120*E120</f>
        <v/>
      </c>
      <c r="G120" s="19" t="n"/>
      <c r="H120" s="19" t="n"/>
    </row>
    <row r="121">
      <c r="A121" s="15" t="inlineStr">
        <is>
          <t>4.9.4</t>
        </is>
      </c>
      <c r="B121" s="15" t="inlineStr">
        <is>
          <t>Refuerzo losa anillo fondo</t>
        </is>
      </c>
      <c r="C121" s="15" t="inlineStr">
        <is>
          <t>gl</t>
        </is>
      </c>
      <c r="D121" s="19" t="n"/>
      <c r="E121" s="20" t="n"/>
      <c r="F121" s="19" t="n"/>
      <c r="G121" s="19" t="n"/>
      <c r="H121" s="19" t="n"/>
    </row>
    <row r="122">
      <c r="A122" s="15" t="inlineStr">
        <is>
          <t>4.9.5</t>
        </is>
      </c>
      <c r="B122" s="15" t="inlineStr">
        <is>
          <t>Construcción dren</t>
        </is>
      </c>
      <c r="C122" s="15" t="inlineStr">
        <is>
          <t>gl</t>
        </is>
      </c>
      <c r="D122" s="19" t="n"/>
      <c r="E122" s="20" t="n"/>
      <c r="F122" s="19" t="n"/>
      <c r="G122" s="19" t="n"/>
      <c r="H122" s="19" t="n"/>
    </row>
    <row r="123">
      <c r="A123" s="15" t="inlineStr">
        <is>
          <t>4.9.6</t>
        </is>
      </c>
      <c r="B123" s="15" t="inlineStr">
        <is>
          <t>Terminaciones pique</t>
        </is>
      </c>
      <c r="C123" s="15" t="inlineStr">
        <is>
          <t>gl</t>
        </is>
      </c>
      <c r="D123" s="19" t="n"/>
      <c r="E123" s="20" t="n"/>
      <c r="F123" s="19" t="n"/>
      <c r="G123" s="19" t="n"/>
      <c r="H123" s="19" t="n"/>
    </row>
    <row r="124">
      <c r="A124" s="15" t="inlineStr">
        <is>
          <t>4.9.7</t>
        </is>
      </c>
      <c r="B124" s="15" t="inlineStr">
        <is>
          <t>Cobertura pique</t>
        </is>
      </c>
      <c r="C124" s="15" t="inlineStr">
        <is>
          <t>gl</t>
        </is>
      </c>
      <c r="D124" s="19" t="n"/>
      <c r="E124" s="20" t="n"/>
      <c r="F124" s="19" t="n"/>
      <c r="G124" s="19" t="n"/>
      <c r="H124" s="19" t="n"/>
    </row>
    <row r="125">
      <c r="A125" s="15" t="inlineStr">
        <is>
          <t>4.9.8</t>
        </is>
      </c>
      <c r="B125" s="15" t="inlineStr">
        <is>
          <t>Montaje escalas y plataformas</t>
        </is>
      </c>
      <c r="C125" s="15" t="inlineStr">
        <is>
          <t>gl</t>
        </is>
      </c>
      <c r="D125" s="16" t="n">
        <v>1</v>
      </c>
      <c r="E125" s="17" t="n">
        <v>83.1169</v>
      </c>
      <c r="F125" s="18">
        <f>D125*E125</f>
        <v/>
      </c>
      <c r="G125" s="19" t="n"/>
      <c r="H125" s="19" t="n"/>
    </row>
    <row r="126">
      <c r="A126" s="15" t="inlineStr">
        <is>
          <t>4.9.9</t>
        </is>
      </c>
      <c r="B126" s="15" t="inlineStr">
        <is>
          <t>Refuerzo apertura pique</t>
        </is>
      </c>
      <c r="C126" s="15" t="inlineStr">
        <is>
          <t>gl</t>
        </is>
      </c>
      <c r="D126" s="19" t="n"/>
      <c r="E126" s="20" t="n"/>
      <c r="F126" s="19" t="n"/>
      <c r="G126" s="19" t="n"/>
      <c r="H126" s="19" t="n"/>
    </row>
    <row r="127">
      <c r="A127" s="15" t="inlineStr">
        <is>
          <t>4.9.10</t>
        </is>
      </c>
      <c r="B127" s="15" t="inlineStr">
        <is>
          <t>Shotcrete</t>
        </is>
      </c>
      <c r="C127" s="15" t="inlineStr">
        <is>
          <t>m³</t>
        </is>
      </c>
      <c r="D127" s="19" t="n"/>
      <c r="E127" s="20" t="n"/>
      <c r="F127" s="19" t="n"/>
      <c r="G127" s="19" t="n"/>
      <c r="H127" s="19" t="n"/>
    </row>
    <row r="128">
      <c r="A128" s="15" t="inlineStr">
        <is>
          <t>4.9.11</t>
        </is>
      </c>
      <c r="B128" s="15" t="inlineStr">
        <is>
          <t>Malla electrosoldada</t>
        </is>
      </c>
      <c r="C128" s="15" t="inlineStr">
        <is>
          <t>kg</t>
        </is>
      </c>
      <c r="D128" s="19" t="n"/>
      <c r="E128" s="20" t="n"/>
      <c r="F128" s="19" t="n"/>
      <c r="G128" s="19" t="n"/>
      <c r="H128" s="19" t="n"/>
    </row>
    <row r="129">
      <c r="A129" s="15" t="inlineStr">
        <is>
          <t>4.9.12</t>
        </is>
      </c>
      <c r="B129" s="15" t="inlineStr">
        <is>
          <t>Pernos de convergencia</t>
        </is>
      </c>
      <c r="C129" s="15" t="inlineStr">
        <is>
          <t>und</t>
        </is>
      </c>
      <c r="D129" s="19" t="n"/>
      <c r="E129" s="20" t="n"/>
      <c r="F129" s="19" t="n"/>
      <c r="G129" s="19" t="n"/>
      <c r="H129" s="19" t="n"/>
    </row>
    <row r="130">
      <c r="A130" s="15" t="inlineStr">
        <is>
          <t>4.9.13</t>
        </is>
      </c>
      <c r="B130" s="15" t="inlineStr">
        <is>
          <t>Montaje estructura soporte de cables</t>
        </is>
      </c>
      <c r="C130" s="15" t="inlineStr">
        <is>
          <t>gl</t>
        </is>
      </c>
      <c r="D130" s="16" t="n">
        <v>1</v>
      </c>
      <c r="E130" s="20" t="n"/>
      <c r="F130" s="18">
        <f>D130*E130</f>
        <v/>
      </c>
      <c r="G130" s="19" t="n"/>
      <c r="H130" s="19" t="n"/>
    </row>
    <row r="131">
      <c r="A131" s="15" t="inlineStr">
        <is>
          <t>4.9.15</t>
        </is>
      </c>
      <c r="B131" s="15" t="inlineStr">
        <is>
          <t>Brocal definitivo</t>
        </is>
      </c>
      <c r="C131" s="15" t="inlineStr">
        <is>
          <t>gl</t>
        </is>
      </c>
      <c r="D131" s="16" t="n">
        <v>1</v>
      </c>
      <c r="E131" s="17" t="n">
        <v>116.8831</v>
      </c>
      <c r="F131" s="18">
        <f>D131*E131</f>
        <v/>
      </c>
      <c r="G131" s="19" t="n"/>
      <c r="H131" s="19" t="n"/>
    </row>
    <row r="132">
      <c r="A132" s="12" t="inlineStr">
        <is>
          <t>5</t>
        </is>
      </c>
      <c r="B132" s="12" t="inlineStr">
        <is>
          <t>OBRAS EN TÚNELES</t>
        </is>
      </c>
    </row>
    <row r="133">
      <c r="A133" s="13" t="inlineStr">
        <is>
          <t>5.1</t>
        </is>
      </c>
      <c r="B133" s="14" t="inlineStr">
        <is>
          <t>TRAMO 1  (P1-P2)</t>
        </is>
      </c>
      <c r="E133" s="6" t="n"/>
    </row>
    <row r="134">
      <c r="A134" s="15" t="inlineStr">
        <is>
          <t>5.1.1</t>
        </is>
      </c>
      <c r="B134" s="15" t="inlineStr">
        <is>
          <t>Excavación túnel</t>
        </is>
      </c>
      <c r="C134" s="15" t="inlineStr">
        <is>
          <t>m³</t>
        </is>
      </c>
      <c r="D134" s="16" t="n">
        <v>1492.19</v>
      </c>
      <c r="E134" s="17" t="n">
        <v>2.4675</v>
      </c>
      <c r="F134" s="18">
        <f>D134*E134</f>
        <v/>
      </c>
      <c r="G134" s="19" t="n"/>
      <c r="H134" s="19" t="n"/>
    </row>
    <row r="135">
      <c r="A135" s="15" t="inlineStr">
        <is>
          <t>5.1.2</t>
        </is>
      </c>
      <c r="B135" s="15" t="inlineStr">
        <is>
          <t>Retiro y transporte material excavado</t>
        </is>
      </c>
      <c r="C135" s="15" t="inlineStr">
        <is>
          <t>m³</t>
        </is>
      </c>
      <c r="D135" s="16" t="n">
        <v>1492.19</v>
      </c>
      <c r="E135" s="17" t="n">
        <v>0.987</v>
      </c>
      <c r="F135" s="18">
        <f>D135*E135</f>
        <v/>
      </c>
      <c r="G135" s="19" t="n"/>
      <c r="H135" s="19" t="n"/>
    </row>
    <row r="136">
      <c r="A136" s="15" t="inlineStr">
        <is>
          <t>5.1.3</t>
        </is>
      </c>
      <c r="B136" s="15" t="inlineStr">
        <is>
          <t>Montaje liner túnel Ø2.21m</t>
        </is>
      </c>
      <c r="C136" s="15" t="inlineStr">
        <is>
          <t>m</t>
        </is>
      </c>
      <c r="D136" s="16" t="n">
        <v>389</v>
      </c>
      <c r="E136" s="17" t="n">
        <v>4.6753</v>
      </c>
      <c r="F136" s="18">
        <f>D136*E136</f>
        <v/>
      </c>
      <c r="G136" s="19" t="n"/>
      <c r="H136" s="19" t="n"/>
    </row>
    <row r="137">
      <c r="A137" s="15" t="inlineStr">
        <is>
          <t>5.1.4</t>
        </is>
      </c>
      <c r="B137" s="15" t="inlineStr">
        <is>
          <t>Pernos frente de trabajo (eventual)</t>
        </is>
      </c>
      <c r="C137" s="15" t="inlineStr">
        <is>
          <t>und</t>
        </is>
      </c>
      <c r="D137" s="19" t="n"/>
      <c r="E137" s="20" t="n"/>
      <c r="F137" s="19" t="n"/>
      <c r="G137" s="19" t="n"/>
      <c r="H137" s="19" t="n"/>
    </row>
    <row r="138">
      <c r="A138" s="15" t="inlineStr">
        <is>
          <t>5.1.5</t>
        </is>
      </c>
      <c r="B138" s="15" t="inlineStr">
        <is>
          <t>Shotcrete frente de trabajo (eventual)</t>
        </is>
      </c>
      <c r="C138" s="15" t="inlineStr">
        <is>
          <t>m³</t>
        </is>
      </c>
      <c r="D138" s="19" t="n"/>
      <c r="E138" s="20" t="n"/>
      <c r="F138" s="19" t="n"/>
      <c r="G138" s="19" t="n"/>
      <c r="H138" s="19" t="n"/>
    </row>
    <row r="139">
      <c r="A139" s="15" t="inlineStr">
        <is>
          <t>5.1.6</t>
        </is>
      </c>
      <c r="B139" s="15" t="inlineStr">
        <is>
          <t>Paraguas de micropilotes (eventual)</t>
        </is>
      </c>
      <c r="C139" s="15" t="inlineStr">
        <is>
          <t>und</t>
        </is>
      </c>
      <c r="D139" s="19" t="n"/>
      <c r="E139" s="20" t="n"/>
      <c r="F139" s="19" t="n"/>
      <c r="G139" s="19" t="n"/>
      <c r="H139" s="19" t="n"/>
    </row>
    <row r="140">
      <c r="A140" s="15" t="inlineStr">
        <is>
          <t>5.1.7</t>
        </is>
      </c>
      <c r="B140" s="15" t="inlineStr">
        <is>
          <t>Radier túnel H30</t>
        </is>
      </c>
      <c r="C140" s="15" t="inlineStr">
        <is>
          <t>m³</t>
        </is>
      </c>
      <c r="D140" s="16" t="n">
        <v>128.95</v>
      </c>
      <c r="E140" s="17" t="n">
        <v>7.2727</v>
      </c>
      <c r="F140" s="18">
        <f>D140*E140</f>
        <v/>
      </c>
      <c r="G140" s="19" t="n"/>
      <c r="H140" s="19" t="n"/>
    </row>
    <row r="141">
      <c r="A141" s="15" t="inlineStr">
        <is>
          <t>5.1.8</t>
        </is>
      </c>
      <c r="B141" s="15" t="inlineStr">
        <is>
          <t>Instalación cables</t>
        </is>
      </c>
      <c r="C141" s="15" t="inlineStr">
        <is>
          <t>ml</t>
        </is>
      </c>
      <c r="D141" s="16" t="n">
        <v>2334</v>
      </c>
      <c r="E141" s="20" t="n"/>
      <c r="F141" s="18">
        <f>D141*E141</f>
        <v/>
      </c>
      <c r="G141" s="19" t="n"/>
      <c r="H141" s="19" t="n"/>
    </row>
    <row r="142">
      <c r="A142" s="13" t="inlineStr">
        <is>
          <t>5.2</t>
        </is>
      </c>
      <c r="B142" s="14" t="inlineStr">
        <is>
          <t>TRAMO 2  (P2-P3)</t>
        </is>
      </c>
      <c r="E142" s="6" t="n"/>
    </row>
    <row r="143">
      <c r="A143" s="15" t="inlineStr">
        <is>
          <t>5.2.1</t>
        </is>
      </c>
      <c r="B143" s="15" t="inlineStr">
        <is>
          <t>Excavación túnel</t>
        </is>
      </c>
      <c r="C143" s="15" t="inlineStr">
        <is>
          <t>m³</t>
        </is>
      </c>
      <c r="D143" s="16" t="n">
        <v>658.25</v>
      </c>
      <c r="E143" s="17" t="n">
        <v>2.4675</v>
      </c>
      <c r="F143" s="18">
        <f>D143*E143</f>
        <v/>
      </c>
      <c r="G143" s="19" t="n"/>
      <c r="H143" s="19" t="n"/>
    </row>
    <row r="144">
      <c r="A144" s="15" t="inlineStr">
        <is>
          <t>5.2.2</t>
        </is>
      </c>
      <c r="B144" s="15" t="inlineStr">
        <is>
          <t>Retiro y transporte material excavado</t>
        </is>
      </c>
      <c r="C144" s="15" t="inlineStr">
        <is>
          <t>m³</t>
        </is>
      </c>
      <c r="D144" s="16" t="n">
        <v>658.25</v>
      </c>
      <c r="E144" s="17" t="n">
        <v>0.987</v>
      </c>
      <c r="F144" s="18">
        <f>D144*E144</f>
        <v/>
      </c>
      <c r="G144" s="19" t="n"/>
      <c r="H144" s="19" t="n"/>
    </row>
    <row r="145">
      <c r="A145" s="15" t="inlineStr">
        <is>
          <t>5.2.3</t>
        </is>
      </c>
      <c r="B145" s="15" t="inlineStr">
        <is>
          <t>Montaje liner túnel Ø2.21m</t>
        </is>
      </c>
      <c r="C145" s="15" t="inlineStr">
        <is>
          <t>m</t>
        </is>
      </c>
      <c r="D145" s="16" t="n">
        <v>171.6</v>
      </c>
      <c r="E145" s="17" t="n">
        <v>4.6753</v>
      </c>
      <c r="F145" s="18">
        <f>D145*E145</f>
        <v/>
      </c>
      <c r="G145" s="19" t="n"/>
      <c r="H145" s="19" t="n"/>
    </row>
    <row r="146">
      <c r="A146" s="15" t="inlineStr">
        <is>
          <t>5.2.4</t>
        </is>
      </c>
      <c r="B146" s="15" t="inlineStr">
        <is>
          <t>Pernos frente de trabajo (eventual)</t>
        </is>
      </c>
      <c r="C146" s="15" t="inlineStr">
        <is>
          <t>und</t>
        </is>
      </c>
      <c r="D146" s="19" t="n"/>
      <c r="E146" s="20" t="n"/>
      <c r="F146" s="19" t="n"/>
      <c r="G146" s="19" t="n"/>
      <c r="H146" s="19" t="n"/>
    </row>
    <row r="147">
      <c r="A147" s="15" t="inlineStr">
        <is>
          <t>5.2.5</t>
        </is>
      </c>
      <c r="B147" s="15" t="inlineStr">
        <is>
          <t>Shotcrete frente de trabajo (eventual)</t>
        </is>
      </c>
      <c r="C147" s="15" t="inlineStr">
        <is>
          <t>m³</t>
        </is>
      </c>
      <c r="D147" s="19" t="n"/>
      <c r="E147" s="20" t="n"/>
      <c r="F147" s="19" t="n"/>
      <c r="G147" s="19" t="n"/>
      <c r="H147" s="19" t="n"/>
    </row>
    <row r="148">
      <c r="A148" s="15" t="inlineStr">
        <is>
          <t>5.2.6</t>
        </is>
      </c>
      <c r="B148" s="15" t="inlineStr">
        <is>
          <t>Paraguas de micropilotes (eventual)</t>
        </is>
      </c>
      <c r="C148" s="15" t="inlineStr">
        <is>
          <t>und</t>
        </is>
      </c>
      <c r="D148" s="19" t="n"/>
      <c r="E148" s="20" t="n"/>
      <c r="F148" s="19" t="n"/>
      <c r="G148" s="19" t="n"/>
      <c r="H148" s="19" t="n"/>
    </row>
    <row r="149">
      <c r="A149" s="15" t="inlineStr">
        <is>
          <t>5.2.7</t>
        </is>
      </c>
      <c r="B149" s="15" t="inlineStr">
        <is>
          <t>Radier túnel H30</t>
        </is>
      </c>
      <c r="C149" s="15" t="inlineStr">
        <is>
          <t>m³</t>
        </is>
      </c>
      <c r="D149" s="16" t="n">
        <v>56.89</v>
      </c>
      <c r="E149" s="17" t="n">
        <v>7.2727</v>
      </c>
      <c r="F149" s="18">
        <f>D149*E149</f>
        <v/>
      </c>
      <c r="G149" s="19" t="n"/>
      <c r="H149" s="19" t="n"/>
    </row>
    <row r="150">
      <c r="A150" s="15" t="inlineStr">
        <is>
          <t>5.2.8</t>
        </is>
      </c>
      <c r="B150" s="15" t="inlineStr">
        <is>
          <t>Instalación cables</t>
        </is>
      </c>
      <c r="C150" s="15" t="inlineStr">
        <is>
          <t>ml</t>
        </is>
      </c>
      <c r="D150" s="16" t="n">
        <v>1029.6</v>
      </c>
      <c r="E150" s="20" t="n"/>
      <c r="F150" s="18">
        <f>D150*E150</f>
        <v/>
      </c>
      <c r="G150" s="19" t="n"/>
      <c r="H150" s="19" t="n"/>
    </row>
    <row r="151">
      <c r="A151" s="13" t="inlineStr">
        <is>
          <t>5.3</t>
        </is>
      </c>
      <c r="B151" s="14" t="inlineStr">
        <is>
          <t>TRAMO 3  (P3-P4)</t>
        </is>
      </c>
      <c r="E151" s="6" t="n"/>
    </row>
    <row r="152">
      <c r="A152" s="15" t="inlineStr">
        <is>
          <t>5.3.1</t>
        </is>
      </c>
      <c r="B152" s="15" t="inlineStr">
        <is>
          <t>Excavación túnel</t>
        </is>
      </c>
      <c r="C152" s="15" t="inlineStr">
        <is>
          <t>m³</t>
        </is>
      </c>
      <c r="D152" s="16" t="n">
        <v>1515.59</v>
      </c>
      <c r="E152" s="17" t="n">
        <v>2.4675</v>
      </c>
      <c r="F152" s="18">
        <f>D152*E152</f>
        <v/>
      </c>
      <c r="G152" s="19" t="n"/>
      <c r="H152" s="19" t="n"/>
    </row>
    <row r="153">
      <c r="A153" s="15" t="inlineStr">
        <is>
          <t>5.3.2</t>
        </is>
      </c>
      <c r="B153" s="15" t="inlineStr">
        <is>
          <t>Retiro y transporte material excavado</t>
        </is>
      </c>
      <c r="C153" s="15" t="inlineStr">
        <is>
          <t>m³</t>
        </is>
      </c>
      <c r="D153" s="16" t="n">
        <v>1515.59</v>
      </c>
      <c r="E153" s="17" t="n">
        <v>0.987</v>
      </c>
      <c r="F153" s="18">
        <f>D153*E153</f>
        <v/>
      </c>
      <c r="G153" s="19" t="n"/>
      <c r="H153" s="19" t="n"/>
    </row>
    <row r="154">
      <c r="A154" s="15" t="inlineStr">
        <is>
          <t>5.3.3</t>
        </is>
      </c>
      <c r="B154" s="15" t="inlineStr">
        <is>
          <t>Montaje liner túnel Ø2.21m</t>
        </is>
      </c>
      <c r="C154" s="15" t="inlineStr">
        <is>
          <t>m</t>
        </is>
      </c>
      <c r="D154" s="16" t="n">
        <v>395.1</v>
      </c>
      <c r="E154" s="17" t="n">
        <v>4.6753</v>
      </c>
      <c r="F154" s="18">
        <f>D154*E154</f>
        <v/>
      </c>
      <c r="G154" s="19" t="n"/>
      <c r="H154" s="19" t="n"/>
    </row>
    <row r="155">
      <c r="A155" s="15" t="inlineStr">
        <is>
          <t>5.3.4</t>
        </is>
      </c>
      <c r="B155" s="15" t="inlineStr">
        <is>
          <t>Pernos frente de trabajo (eventual)</t>
        </is>
      </c>
      <c r="C155" s="15" t="inlineStr">
        <is>
          <t>und</t>
        </is>
      </c>
      <c r="D155" s="19" t="n"/>
      <c r="E155" s="20" t="n"/>
      <c r="F155" s="19" t="n"/>
      <c r="G155" s="19" t="n"/>
      <c r="H155" s="19" t="n"/>
    </row>
    <row r="156">
      <c r="A156" s="15" t="inlineStr">
        <is>
          <t>5.3.5</t>
        </is>
      </c>
      <c r="B156" s="15" t="inlineStr">
        <is>
          <t>Shotcrete frente de trabajo (eventual)</t>
        </is>
      </c>
      <c r="C156" s="15" t="inlineStr">
        <is>
          <t>m³</t>
        </is>
      </c>
      <c r="D156" s="19" t="n"/>
      <c r="E156" s="20" t="n"/>
      <c r="F156" s="19" t="n"/>
      <c r="G156" s="19" t="n"/>
      <c r="H156" s="19" t="n"/>
    </row>
    <row r="157">
      <c r="A157" s="15" t="inlineStr">
        <is>
          <t>5.3.6</t>
        </is>
      </c>
      <c r="B157" s="15" t="inlineStr">
        <is>
          <t>Paraguas de micropilotes (eventual)</t>
        </is>
      </c>
      <c r="C157" s="15" t="inlineStr">
        <is>
          <t>und</t>
        </is>
      </c>
      <c r="D157" s="19" t="n"/>
      <c r="E157" s="20" t="n"/>
      <c r="F157" s="19" t="n"/>
      <c r="G157" s="19" t="n"/>
      <c r="H157" s="19" t="n"/>
    </row>
    <row r="158">
      <c r="A158" s="15" t="inlineStr">
        <is>
          <t>5.3.7</t>
        </is>
      </c>
      <c r="B158" s="15" t="inlineStr">
        <is>
          <t>Radier túnel H30</t>
        </is>
      </c>
      <c r="C158" s="15" t="inlineStr">
        <is>
          <t>m³</t>
        </is>
      </c>
      <c r="D158" s="16" t="n">
        <v>130.98</v>
      </c>
      <c r="E158" s="17" t="n">
        <v>7.2727</v>
      </c>
      <c r="F158" s="18">
        <f>D158*E158</f>
        <v/>
      </c>
      <c r="G158" s="19" t="n"/>
      <c r="H158" s="19" t="n"/>
    </row>
    <row r="159">
      <c r="A159" s="15" t="inlineStr">
        <is>
          <t>5.3.8</t>
        </is>
      </c>
      <c r="B159" s="15" t="inlineStr">
        <is>
          <t>Instalación cables</t>
        </is>
      </c>
      <c r="C159" s="15" t="inlineStr">
        <is>
          <t>ml</t>
        </is>
      </c>
      <c r="D159" s="16" t="n">
        <v>2370.6</v>
      </c>
      <c r="E159" s="20" t="n"/>
      <c r="F159" s="18">
        <f>D159*E159</f>
        <v/>
      </c>
      <c r="G159" s="19" t="n"/>
      <c r="H159" s="19" t="n"/>
    </row>
    <row r="160">
      <c r="A160" s="13" t="inlineStr">
        <is>
          <t>5.4</t>
        </is>
      </c>
      <c r="B160" s="14" t="inlineStr">
        <is>
          <t>TRAMO 4  (P4-P5)</t>
        </is>
      </c>
      <c r="E160" s="6" t="n"/>
    </row>
    <row r="161">
      <c r="A161" s="15" t="inlineStr">
        <is>
          <t>5.4.1</t>
        </is>
      </c>
      <c r="B161" s="15" t="inlineStr">
        <is>
          <t>Excavación túnel</t>
        </is>
      </c>
      <c r="C161" s="15" t="inlineStr">
        <is>
          <t>m³</t>
        </is>
      </c>
      <c r="D161" s="16" t="n">
        <v>789.8200000000001</v>
      </c>
      <c r="E161" s="17" t="n">
        <v>2.4675</v>
      </c>
      <c r="F161" s="18">
        <f>D161*E161</f>
        <v/>
      </c>
      <c r="G161" s="19" t="n"/>
      <c r="H161" s="19" t="n"/>
    </row>
    <row r="162">
      <c r="A162" s="15" t="inlineStr">
        <is>
          <t>5.4.2</t>
        </is>
      </c>
      <c r="B162" s="15" t="inlineStr">
        <is>
          <t>Retiro y transporte material excavado</t>
        </is>
      </c>
      <c r="C162" s="15" t="inlineStr">
        <is>
          <t>m³</t>
        </is>
      </c>
      <c r="D162" s="16" t="n">
        <v>789.8200000000001</v>
      </c>
      <c r="E162" s="17" t="n">
        <v>0.987</v>
      </c>
      <c r="F162" s="18">
        <f>D162*E162</f>
        <v/>
      </c>
      <c r="G162" s="19" t="n"/>
      <c r="H162" s="19" t="n"/>
    </row>
    <row r="163">
      <c r="A163" s="15" t="inlineStr">
        <is>
          <t>5.4.3</t>
        </is>
      </c>
      <c r="B163" s="15" t="inlineStr">
        <is>
          <t>Montaje liner túnel Ø2.21m</t>
        </is>
      </c>
      <c r="C163" s="15" t="inlineStr">
        <is>
          <t>m</t>
        </is>
      </c>
      <c r="D163" s="16" t="n">
        <v>205.9</v>
      </c>
      <c r="E163" s="17" t="n">
        <v>4.6753</v>
      </c>
      <c r="F163" s="18">
        <f>D163*E163</f>
        <v/>
      </c>
      <c r="G163" s="19" t="n"/>
      <c r="H163" s="19" t="n"/>
    </row>
    <row r="164">
      <c r="A164" s="15" t="inlineStr">
        <is>
          <t>5.4.4</t>
        </is>
      </c>
      <c r="B164" s="15" t="inlineStr">
        <is>
          <t>Pernos frente de trabajo (eventual)</t>
        </is>
      </c>
      <c r="C164" s="15" t="inlineStr">
        <is>
          <t>und</t>
        </is>
      </c>
      <c r="D164" s="19" t="n"/>
      <c r="E164" s="20" t="n"/>
      <c r="F164" s="19" t="n"/>
      <c r="G164" s="19" t="n"/>
      <c r="H164" s="19" t="n"/>
    </row>
    <row r="165">
      <c r="A165" s="15" t="inlineStr">
        <is>
          <t>5.4.5</t>
        </is>
      </c>
      <c r="B165" s="15" t="inlineStr">
        <is>
          <t>Shotcrete frente de trabajo (eventual)</t>
        </is>
      </c>
      <c r="C165" s="15" t="inlineStr">
        <is>
          <t>m³</t>
        </is>
      </c>
      <c r="D165" s="19" t="n"/>
      <c r="E165" s="20" t="n"/>
      <c r="F165" s="19" t="n"/>
      <c r="G165" s="19" t="n"/>
      <c r="H165" s="19" t="n"/>
    </row>
    <row r="166">
      <c r="A166" s="15" t="inlineStr">
        <is>
          <t>5.4.6</t>
        </is>
      </c>
      <c r="B166" s="15" t="inlineStr">
        <is>
          <t>Paraguas de micropilotes (eventual)</t>
        </is>
      </c>
      <c r="C166" s="15" t="inlineStr">
        <is>
          <t>und</t>
        </is>
      </c>
      <c r="D166" s="19" t="n"/>
      <c r="E166" s="20" t="n"/>
      <c r="F166" s="19" t="n"/>
      <c r="G166" s="19" t="n"/>
      <c r="H166" s="19" t="n"/>
    </row>
    <row r="167">
      <c r="A167" s="15" t="inlineStr">
        <is>
          <t>5.4.7</t>
        </is>
      </c>
      <c r="B167" s="15" t="inlineStr">
        <is>
          <t>Radier túnel H30</t>
        </is>
      </c>
      <c r="C167" s="15" t="inlineStr">
        <is>
          <t>m³</t>
        </is>
      </c>
      <c r="D167" s="16" t="n">
        <v>68.26000000000001</v>
      </c>
      <c r="E167" s="17" t="n">
        <v>7.2727</v>
      </c>
      <c r="F167" s="18">
        <f>D167*E167</f>
        <v/>
      </c>
      <c r="G167" s="19" t="n"/>
      <c r="H167" s="19" t="n"/>
    </row>
    <row r="168">
      <c r="A168" s="15" t="inlineStr">
        <is>
          <t>5.4.8</t>
        </is>
      </c>
      <c r="B168" s="15" t="inlineStr">
        <is>
          <t>Instalación cables</t>
        </is>
      </c>
      <c r="C168" s="15" t="inlineStr">
        <is>
          <t>ml</t>
        </is>
      </c>
      <c r="D168" s="16" t="n">
        <v>1235.4</v>
      </c>
      <c r="E168" s="20" t="n"/>
      <c r="F168" s="18">
        <f>D168*E168</f>
        <v/>
      </c>
      <c r="G168" s="19" t="n"/>
      <c r="H168" s="19" t="n"/>
    </row>
    <row r="169">
      <c r="A169" s="13" t="inlineStr">
        <is>
          <t>5.5</t>
        </is>
      </c>
      <c r="B169" s="14" t="inlineStr">
        <is>
          <t>TRAMO 5  (P5-P6)</t>
        </is>
      </c>
      <c r="E169" s="6" t="n"/>
    </row>
    <row r="170">
      <c r="A170" s="15" t="inlineStr">
        <is>
          <t>5.5.1</t>
        </is>
      </c>
      <c r="B170" s="15" t="inlineStr">
        <is>
          <t>Excavación túnel</t>
        </is>
      </c>
      <c r="C170" s="15" t="inlineStr">
        <is>
          <t>m³</t>
        </is>
      </c>
      <c r="D170" s="16" t="n">
        <v>1142.35</v>
      </c>
      <c r="E170" s="17" t="n">
        <v>2.4675</v>
      </c>
      <c r="F170" s="18">
        <f>D170*E170</f>
        <v/>
      </c>
      <c r="G170" s="19" t="n"/>
      <c r="H170" s="19" t="n"/>
    </row>
    <row r="171">
      <c r="A171" s="15" t="inlineStr">
        <is>
          <t>5.5.2</t>
        </is>
      </c>
      <c r="B171" s="15" t="inlineStr">
        <is>
          <t>Retiro y transporte material excavado</t>
        </is>
      </c>
      <c r="C171" s="15" t="inlineStr">
        <is>
          <t>m³</t>
        </is>
      </c>
      <c r="D171" s="16" t="n">
        <v>1142.35</v>
      </c>
      <c r="E171" s="17" t="n">
        <v>0.987</v>
      </c>
      <c r="F171" s="18">
        <f>D171*E171</f>
        <v/>
      </c>
      <c r="G171" s="19" t="n"/>
      <c r="H171" s="19" t="n"/>
    </row>
    <row r="172">
      <c r="A172" s="15" t="inlineStr">
        <is>
          <t>5.5.3</t>
        </is>
      </c>
      <c r="B172" s="15" t="inlineStr">
        <is>
          <t>Montaje liner túnel Ø2.21m</t>
        </is>
      </c>
      <c r="C172" s="15" t="inlineStr">
        <is>
          <t>m</t>
        </is>
      </c>
      <c r="D172" s="16" t="n">
        <v>297.8</v>
      </c>
      <c r="E172" s="17" t="n">
        <v>4.6753</v>
      </c>
      <c r="F172" s="18">
        <f>D172*E172</f>
        <v/>
      </c>
      <c r="G172" s="19" t="n"/>
      <c r="H172" s="19" t="n"/>
    </row>
    <row r="173">
      <c r="A173" s="15" t="inlineStr">
        <is>
          <t>5.5.4</t>
        </is>
      </c>
      <c r="B173" s="15" t="inlineStr">
        <is>
          <t>Pernos frente de trabajo (eventual)</t>
        </is>
      </c>
      <c r="C173" s="15" t="inlineStr">
        <is>
          <t>und</t>
        </is>
      </c>
      <c r="D173" s="19" t="n"/>
      <c r="E173" s="20" t="n"/>
      <c r="F173" s="19" t="n"/>
      <c r="G173" s="19" t="n"/>
      <c r="H173" s="19" t="n"/>
    </row>
    <row r="174">
      <c r="A174" s="15" t="inlineStr">
        <is>
          <t>5.5.5</t>
        </is>
      </c>
      <c r="B174" s="15" t="inlineStr">
        <is>
          <t>Shotcrete frente de trabajo (eventual)</t>
        </is>
      </c>
      <c r="C174" s="15" t="inlineStr">
        <is>
          <t>m³</t>
        </is>
      </c>
      <c r="D174" s="19" t="n"/>
      <c r="E174" s="20" t="n"/>
      <c r="F174" s="19" t="n"/>
      <c r="G174" s="19" t="n"/>
      <c r="H174" s="19" t="n"/>
    </row>
    <row r="175">
      <c r="A175" s="15" t="inlineStr">
        <is>
          <t>5.5.6</t>
        </is>
      </c>
      <c r="B175" s="15" t="inlineStr">
        <is>
          <t>Paraguas de micropilotes (eventual)</t>
        </is>
      </c>
      <c r="C175" s="15" t="inlineStr">
        <is>
          <t>und</t>
        </is>
      </c>
      <c r="D175" s="19" t="n"/>
      <c r="E175" s="20" t="n"/>
      <c r="F175" s="19" t="n"/>
      <c r="G175" s="19" t="n"/>
      <c r="H175" s="19" t="n"/>
    </row>
    <row r="176">
      <c r="A176" s="15" t="inlineStr">
        <is>
          <t>5.5.7</t>
        </is>
      </c>
      <c r="B176" s="15" t="inlineStr">
        <is>
          <t>Radier túnel H30</t>
        </is>
      </c>
      <c r="C176" s="15" t="inlineStr">
        <is>
          <t>m³</t>
        </is>
      </c>
      <c r="D176" s="16" t="n">
        <v>98.72</v>
      </c>
      <c r="E176" s="17" t="n">
        <v>7.2727</v>
      </c>
      <c r="F176" s="18">
        <f>D176*E176</f>
        <v/>
      </c>
      <c r="G176" s="19" t="n"/>
      <c r="H176" s="19" t="n"/>
    </row>
    <row r="177">
      <c r="A177" s="15" t="inlineStr">
        <is>
          <t>5.5.8</t>
        </is>
      </c>
      <c r="B177" s="15" t="inlineStr">
        <is>
          <t>Instalación cables</t>
        </is>
      </c>
      <c r="C177" s="15" t="inlineStr">
        <is>
          <t>ml</t>
        </is>
      </c>
      <c r="D177" s="16" t="n">
        <v>1786.8</v>
      </c>
      <c r="E177" s="20" t="n"/>
      <c r="F177" s="18">
        <f>D177*E177</f>
        <v/>
      </c>
      <c r="G177" s="19" t="n"/>
      <c r="H177" s="19" t="n"/>
    </row>
    <row r="178">
      <c r="A178" s="13" t="inlineStr">
        <is>
          <t>5.6</t>
        </is>
      </c>
      <c r="B178" s="14" t="inlineStr">
        <is>
          <t>TRAMO 6  (P6-P7)</t>
        </is>
      </c>
      <c r="E178" s="6" t="n"/>
    </row>
    <row r="179">
      <c r="A179" s="15" t="inlineStr">
        <is>
          <t>5.6.1</t>
        </is>
      </c>
      <c r="B179" s="15" t="inlineStr">
        <is>
          <t>Excavación túnel</t>
        </is>
      </c>
      <c r="C179" s="15" t="inlineStr">
        <is>
          <t>m³</t>
        </is>
      </c>
      <c r="D179" s="16" t="n">
        <v>1219.84</v>
      </c>
      <c r="E179" s="17" t="n">
        <v>2.4675</v>
      </c>
      <c r="F179" s="18">
        <f>D179*E179</f>
        <v/>
      </c>
      <c r="G179" s="19" t="n"/>
      <c r="H179" s="19" t="n"/>
    </row>
    <row r="180">
      <c r="A180" s="15" t="inlineStr">
        <is>
          <t>5.6.2</t>
        </is>
      </c>
      <c r="B180" s="15" t="inlineStr">
        <is>
          <t>Retiro y transporte material excavado</t>
        </is>
      </c>
      <c r="C180" s="15" t="inlineStr">
        <is>
          <t>m³</t>
        </is>
      </c>
      <c r="D180" s="16" t="n">
        <v>1219.84</v>
      </c>
      <c r="E180" s="17" t="n">
        <v>0.987</v>
      </c>
      <c r="F180" s="18">
        <f>D180*E180</f>
        <v/>
      </c>
      <c r="G180" s="19" t="n"/>
      <c r="H180" s="19" t="n"/>
    </row>
    <row r="181">
      <c r="A181" s="15" t="inlineStr">
        <is>
          <t>5.6.3</t>
        </is>
      </c>
      <c r="B181" s="15" t="inlineStr">
        <is>
          <t>Montaje liner túnel Ø2.21m</t>
        </is>
      </c>
      <c r="C181" s="15" t="inlineStr">
        <is>
          <t>m</t>
        </is>
      </c>
      <c r="D181" s="16" t="n">
        <v>318</v>
      </c>
      <c r="E181" s="17" t="n">
        <v>4.6753</v>
      </c>
      <c r="F181" s="18">
        <f>D181*E181</f>
        <v/>
      </c>
      <c r="G181" s="19" t="n"/>
      <c r="H181" s="19" t="n"/>
    </row>
    <row r="182">
      <c r="A182" s="15" t="inlineStr">
        <is>
          <t>5.6.4</t>
        </is>
      </c>
      <c r="B182" s="15" t="inlineStr">
        <is>
          <t>Pernos frente de trabajo (eventual)</t>
        </is>
      </c>
      <c r="C182" s="15" t="inlineStr">
        <is>
          <t>und</t>
        </is>
      </c>
      <c r="D182" s="19" t="n"/>
      <c r="E182" s="20" t="n"/>
      <c r="F182" s="19" t="n"/>
      <c r="G182" s="19" t="n"/>
      <c r="H182" s="19" t="n"/>
    </row>
    <row r="183">
      <c r="A183" s="15" t="inlineStr">
        <is>
          <t>5.6.5</t>
        </is>
      </c>
      <c r="B183" s="15" t="inlineStr">
        <is>
          <t>Shotcrete frente de trabajo (eventual)</t>
        </is>
      </c>
      <c r="C183" s="15" t="inlineStr">
        <is>
          <t>m³</t>
        </is>
      </c>
      <c r="D183" s="19" t="n"/>
      <c r="E183" s="20" t="n"/>
      <c r="F183" s="19" t="n"/>
      <c r="G183" s="19" t="n"/>
      <c r="H183" s="19" t="n"/>
    </row>
    <row r="184">
      <c r="A184" s="15" t="inlineStr">
        <is>
          <t>5.6.6</t>
        </is>
      </c>
      <c r="B184" s="15" t="inlineStr">
        <is>
          <t>Paraguas de micropilotes (eventual)</t>
        </is>
      </c>
      <c r="C184" s="15" t="inlineStr">
        <is>
          <t>und</t>
        </is>
      </c>
      <c r="D184" s="19" t="n"/>
      <c r="E184" s="20" t="n"/>
      <c r="F184" s="19" t="n"/>
      <c r="G184" s="19" t="n"/>
      <c r="H184" s="19" t="n"/>
    </row>
    <row r="185">
      <c r="A185" s="15" t="inlineStr">
        <is>
          <t>5.6.7</t>
        </is>
      </c>
      <c r="B185" s="15" t="inlineStr">
        <is>
          <t>Radier túnel H30</t>
        </is>
      </c>
      <c r="C185" s="15" t="inlineStr">
        <is>
          <t>m³</t>
        </is>
      </c>
      <c r="D185" s="16" t="n">
        <v>105.42</v>
      </c>
      <c r="E185" s="17" t="n">
        <v>7.2727</v>
      </c>
      <c r="F185" s="18">
        <f>D185*E185</f>
        <v/>
      </c>
      <c r="G185" s="19" t="n"/>
      <c r="H185" s="19" t="n"/>
    </row>
    <row r="186">
      <c r="A186" s="15" t="inlineStr">
        <is>
          <t>5.6.8</t>
        </is>
      </c>
      <c r="B186" s="15" t="inlineStr">
        <is>
          <t>Instalación cables</t>
        </is>
      </c>
      <c r="C186" s="15" t="inlineStr">
        <is>
          <t>ml</t>
        </is>
      </c>
      <c r="D186" s="16" t="n">
        <v>1908</v>
      </c>
      <c r="E186" s="20" t="n"/>
      <c r="F186" s="18">
        <f>D186*E186</f>
        <v/>
      </c>
      <c r="G186" s="19" t="n"/>
      <c r="H186" s="19" t="n"/>
    </row>
    <row r="187">
      <c r="A187" s="13" t="inlineStr">
        <is>
          <t>5.7</t>
        </is>
      </c>
      <c r="B187" s="14" t="inlineStr">
        <is>
          <t>TRAMO 7  (P7-P8)</t>
        </is>
      </c>
      <c r="E187" s="6" t="n"/>
    </row>
    <row r="188">
      <c r="A188" s="15" t="inlineStr">
        <is>
          <t>5.7.1</t>
        </is>
      </c>
      <c r="B188" s="15" t="inlineStr">
        <is>
          <t>Excavación túnel</t>
        </is>
      </c>
      <c r="C188" s="15" t="inlineStr">
        <is>
          <t>m³</t>
        </is>
      </c>
      <c r="D188" s="16" t="n">
        <v>1410.48</v>
      </c>
      <c r="E188" s="17" t="n">
        <v>2.4675</v>
      </c>
      <c r="F188" s="18">
        <f>D188*E188</f>
        <v/>
      </c>
      <c r="G188" s="19" t="n"/>
      <c r="H188" s="19" t="n"/>
    </row>
    <row r="189">
      <c r="A189" s="15" t="inlineStr">
        <is>
          <t>5.7.2</t>
        </is>
      </c>
      <c r="B189" s="15" t="inlineStr">
        <is>
          <t>Retiro y transporte material excavado</t>
        </is>
      </c>
      <c r="C189" s="15" t="inlineStr">
        <is>
          <t>m³</t>
        </is>
      </c>
      <c r="D189" s="16" t="n">
        <v>1410.48</v>
      </c>
      <c r="E189" s="17" t="n">
        <v>0.987</v>
      </c>
      <c r="F189" s="18">
        <f>D189*E189</f>
        <v/>
      </c>
      <c r="G189" s="19" t="n"/>
      <c r="H189" s="19" t="n"/>
    </row>
    <row r="190">
      <c r="A190" s="15" t="inlineStr">
        <is>
          <t>5.7.3</t>
        </is>
      </c>
      <c r="B190" s="15" t="inlineStr">
        <is>
          <t>Montaje liner túnel Ø2.21m</t>
        </is>
      </c>
      <c r="C190" s="15" t="inlineStr">
        <is>
          <t>m</t>
        </is>
      </c>
      <c r="D190" s="16" t="n">
        <v>367.7</v>
      </c>
      <c r="E190" s="17" t="n">
        <v>4.6753</v>
      </c>
      <c r="F190" s="18">
        <f>D190*E190</f>
        <v/>
      </c>
      <c r="G190" s="19" t="n"/>
      <c r="H190" s="19" t="n"/>
    </row>
    <row r="191">
      <c r="A191" s="15" t="inlineStr">
        <is>
          <t>5.7.4</t>
        </is>
      </c>
      <c r="B191" s="15" t="inlineStr">
        <is>
          <t>Pernos frente de trabajo (eventual)</t>
        </is>
      </c>
      <c r="C191" s="15" t="inlineStr">
        <is>
          <t>und</t>
        </is>
      </c>
      <c r="D191" s="19" t="n"/>
      <c r="E191" s="20" t="n"/>
      <c r="F191" s="19" t="n"/>
      <c r="G191" s="19" t="n"/>
      <c r="H191" s="19" t="n"/>
    </row>
    <row r="192">
      <c r="A192" s="15" t="inlineStr">
        <is>
          <t>5.7.5</t>
        </is>
      </c>
      <c r="B192" s="15" t="inlineStr">
        <is>
          <t>Shotcrete frente de trabajo (eventual)</t>
        </is>
      </c>
      <c r="C192" s="15" t="inlineStr">
        <is>
          <t>m³</t>
        </is>
      </c>
      <c r="D192" s="19" t="n"/>
      <c r="E192" s="20" t="n"/>
      <c r="F192" s="19" t="n"/>
      <c r="G192" s="19" t="n"/>
      <c r="H192" s="19" t="n"/>
    </row>
    <row r="193">
      <c r="A193" s="15" t="inlineStr">
        <is>
          <t>5.7.6</t>
        </is>
      </c>
      <c r="B193" s="15" t="inlineStr">
        <is>
          <t>Paraguas de micropilotes (eventual)</t>
        </is>
      </c>
      <c r="C193" s="15" t="inlineStr">
        <is>
          <t>und</t>
        </is>
      </c>
      <c r="D193" s="19" t="n"/>
      <c r="E193" s="20" t="n"/>
      <c r="F193" s="19" t="n"/>
      <c r="G193" s="19" t="n"/>
      <c r="H193" s="19" t="n"/>
    </row>
    <row r="194">
      <c r="A194" s="15" t="inlineStr">
        <is>
          <t>5.7.7</t>
        </is>
      </c>
      <c r="B194" s="15" t="inlineStr">
        <is>
          <t>Radier túnel H30</t>
        </is>
      </c>
      <c r="C194" s="15" t="inlineStr">
        <is>
          <t>m³</t>
        </is>
      </c>
      <c r="D194" s="16" t="n">
        <v>121.89</v>
      </c>
      <c r="E194" s="17" t="n">
        <v>7.2727</v>
      </c>
      <c r="F194" s="18">
        <f>D194*E194</f>
        <v/>
      </c>
      <c r="G194" s="19" t="n"/>
      <c r="H194" s="19" t="n"/>
    </row>
    <row r="195">
      <c r="A195" s="15" t="inlineStr">
        <is>
          <t>5.7.8</t>
        </is>
      </c>
      <c r="B195" s="15" t="inlineStr">
        <is>
          <t>Instalación cables</t>
        </is>
      </c>
      <c r="C195" s="15" t="inlineStr">
        <is>
          <t>ml</t>
        </is>
      </c>
      <c r="D195" s="16" t="n">
        <v>2206.2</v>
      </c>
      <c r="E195" s="20" t="n"/>
      <c r="F195" s="18">
        <f>D195*E195</f>
        <v/>
      </c>
      <c r="G195" s="19" t="n"/>
      <c r="H195" s="19" t="n"/>
    </row>
    <row r="196">
      <c r="A196" s="13" t="inlineStr">
        <is>
          <t>5.8</t>
        </is>
      </c>
      <c r="B196" s="14" t="inlineStr">
        <is>
          <t>TRAMO 8  (P8-P9)</t>
        </is>
      </c>
      <c r="E196" s="6" t="n"/>
    </row>
    <row r="197">
      <c r="A197" s="15" t="inlineStr">
        <is>
          <t>5.8.1</t>
        </is>
      </c>
      <c r="B197" s="15" t="inlineStr">
        <is>
          <t>Excavación túnel</t>
        </is>
      </c>
      <c r="C197" s="15" t="inlineStr">
        <is>
          <t>m³</t>
        </is>
      </c>
      <c r="D197" s="16" t="n">
        <v>1185.7</v>
      </c>
      <c r="E197" s="17" t="n">
        <v>2.4675</v>
      </c>
      <c r="F197" s="18">
        <f>D197*E197</f>
        <v/>
      </c>
      <c r="G197" s="19" t="n"/>
      <c r="H197" s="19" t="n"/>
    </row>
    <row r="198">
      <c r="A198" s="15" t="inlineStr">
        <is>
          <t>5.8.2</t>
        </is>
      </c>
      <c r="B198" s="15" t="inlineStr">
        <is>
          <t>Retiro y transporte material excavado</t>
        </is>
      </c>
      <c r="C198" s="15" t="inlineStr">
        <is>
          <t>m³</t>
        </is>
      </c>
      <c r="D198" s="16" t="n">
        <v>1185.7</v>
      </c>
      <c r="E198" s="17" t="n">
        <v>0.987</v>
      </c>
      <c r="F198" s="18">
        <f>D198*E198</f>
        <v/>
      </c>
      <c r="G198" s="19" t="n"/>
      <c r="H198" s="19" t="n"/>
    </row>
    <row r="199">
      <c r="A199" s="15" t="inlineStr">
        <is>
          <t>5.8.3</t>
        </is>
      </c>
      <c r="B199" s="15" t="inlineStr">
        <is>
          <t>Montaje liner túnel Ø2.21m</t>
        </is>
      </c>
      <c r="C199" s="15" t="inlineStr">
        <is>
          <t>m</t>
        </is>
      </c>
      <c r="D199" s="16" t="n">
        <v>309.1</v>
      </c>
      <c r="E199" s="17" t="n">
        <v>4.6753</v>
      </c>
      <c r="F199" s="18">
        <f>D199*E199</f>
        <v/>
      </c>
      <c r="G199" s="19" t="n"/>
      <c r="H199" s="19" t="n"/>
    </row>
    <row r="200">
      <c r="A200" s="15" t="inlineStr">
        <is>
          <t>5.8.4</t>
        </is>
      </c>
      <c r="B200" s="15" t="inlineStr">
        <is>
          <t>Pernos frente de trabajo (eventual)</t>
        </is>
      </c>
      <c r="C200" s="15" t="inlineStr">
        <is>
          <t>und</t>
        </is>
      </c>
      <c r="D200" s="19" t="n"/>
      <c r="E200" s="20" t="n"/>
      <c r="F200" s="19" t="n"/>
      <c r="G200" s="19" t="n"/>
      <c r="H200" s="19" t="n"/>
    </row>
    <row r="201">
      <c r="A201" s="15" t="inlineStr">
        <is>
          <t>5.8.5</t>
        </is>
      </c>
      <c r="B201" s="15" t="inlineStr">
        <is>
          <t>Shotcrete frente de trabajo (eventual)</t>
        </is>
      </c>
      <c r="C201" s="15" t="inlineStr">
        <is>
          <t>m³</t>
        </is>
      </c>
      <c r="D201" s="19" t="n"/>
      <c r="E201" s="20" t="n"/>
      <c r="F201" s="19" t="n"/>
      <c r="G201" s="19" t="n"/>
      <c r="H201" s="19" t="n"/>
    </row>
    <row r="202">
      <c r="A202" s="15" t="inlineStr">
        <is>
          <t>5.8.6</t>
        </is>
      </c>
      <c r="B202" s="15" t="inlineStr">
        <is>
          <t>Paraguas de micropilotes (eventual)</t>
        </is>
      </c>
      <c r="C202" s="15" t="inlineStr">
        <is>
          <t>und</t>
        </is>
      </c>
      <c r="D202" s="19" t="n"/>
      <c r="E202" s="20" t="n"/>
      <c r="F202" s="19" t="n"/>
      <c r="G202" s="19" t="n"/>
      <c r="H202" s="19" t="n"/>
    </row>
    <row r="203">
      <c r="A203" s="15" t="inlineStr">
        <is>
          <t>5.8.7</t>
        </is>
      </c>
      <c r="B203" s="15" t="inlineStr">
        <is>
          <t>Radier túnel H30</t>
        </is>
      </c>
      <c r="C203" s="15" t="inlineStr">
        <is>
          <t>m³</t>
        </is>
      </c>
      <c r="D203" s="16" t="n">
        <v>102.47</v>
      </c>
      <c r="E203" s="17" t="n">
        <v>7.2727</v>
      </c>
      <c r="F203" s="18">
        <f>D203*E203</f>
        <v/>
      </c>
      <c r="G203" s="19" t="n"/>
      <c r="H203" s="19" t="n"/>
    </row>
    <row r="204">
      <c r="A204" s="15" t="inlineStr">
        <is>
          <t>5.8.8</t>
        </is>
      </c>
      <c r="B204" s="15" t="inlineStr">
        <is>
          <t>Instalación cables</t>
        </is>
      </c>
      <c r="C204" s="15" t="inlineStr">
        <is>
          <t>ml</t>
        </is>
      </c>
      <c r="D204" s="16" t="n">
        <v>1854.6</v>
      </c>
      <c r="E204" s="20" t="n"/>
      <c r="F204" s="18">
        <f>D204*E204</f>
        <v/>
      </c>
      <c r="G204" s="19" t="n"/>
      <c r="H204" s="19" t="n"/>
    </row>
  </sheetData>
  <mergeCells count="20">
    <mergeCell ref="B187:H187"/>
    <mergeCell ref="B19:H19"/>
    <mergeCell ref="B133:H133"/>
    <mergeCell ref="B33:H33"/>
    <mergeCell ref="A1:H1"/>
    <mergeCell ref="B142:H142"/>
    <mergeCell ref="B169:H169"/>
    <mergeCell ref="B89:H89"/>
    <mergeCell ref="B160:H160"/>
    <mergeCell ref="B4:H4"/>
    <mergeCell ref="B75:H75"/>
    <mergeCell ref="B47:H47"/>
    <mergeCell ref="B3:H3"/>
    <mergeCell ref="B117:H117"/>
    <mergeCell ref="B196:H196"/>
    <mergeCell ref="B151:H151"/>
    <mergeCell ref="B61:H61"/>
    <mergeCell ref="B132:H132"/>
    <mergeCell ref="B178:H178"/>
    <mergeCell ref="B103:H10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6"/>
  <sheetViews>
    <sheetView workbookViewId="0">
      <selection activeCell="A1" sqref="A1"/>
    </sheetView>
  </sheetViews>
  <sheetFormatPr baseColWidth="8" defaultRowHeight="15"/>
  <cols>
    <col width="40" customWidth="1" min="1" max="1"/>
    <col width="10" customWidth="1" min="2" max="2"/>
    <col width="14" customWidth="1" min="3" max="3"/>
    <col width="14" customWidth="1" min="4" max="4"/>
    <col width="14" customWidth="1" min="5" max="5"/>
    <col width="35" customWidth="1" min="6" max="6"/>
  </cols>
  <sheetData>
    <row r="1">
      <c r="A1" s="4" t="inlineStr">
        <is>
          <t>ANÁLISIS DE PRECIOS — TÚNEL LAT VITACURA-PROVIDENCIA</t>
        </is>
      </c>
    </row>
    <row r="2">
      <c r="A2" s="21" t="inlineStr">
        <is>
          <t>UF referencial: 38,500 CLP (mayo 2026) | Generado: 2026-05-19</t>
        </is>
      </c>
    </row>
    <row r="3">
      <c r="A3" s="22" t="inlineStr">
        <is>
          <t>⚠ SUPUESTO: cantidades sección 5 calculadas para 1 túnel Ø2.21m por tramo. Si la licitación requiere 2 túneles paralelos, multiplicar cantidades 5.x por 2.</t>
        </is>
      </c>
    </row>
    <row r="5">
      <c r="A5" s="12" t="inlineStr">
        <is>
          <t>1. CUBICACIÓN REALIZADA (cantidades pre-llenadas en hoja A)</t>
        </is>
      </c>
    </row>
    <row r="6">
      <c r="A6" s="7" t="inlineStr">
        <is>
          <t>Partida</t>
        </is>
      </c>
      <c r="B6" s="7" t="inlineStr">
        <is>
          <t>Cant.</t>
        </is>
      </c>
      <c r="C6" s="7" t="inlineStr">
        <is>
          <t>Unidad</t>
        </is>
      </c>
      <c r="D6" s="7" t="inlineStr">
        <is>
          <t>Ítems licitación</t>
        </is>
      </c>
      <c r="E6" s="7" t="inlineStr">
        <is>
          <t>UF est. medio</t>
        </is>
      </c>
      <c r="F6" s="7" t="inlineStr">
        <is>
          <t>Fuente / Cómo se calculó</t>
        </is>
      </c>
    </row>
    <row r="7">
      <c r="A7" s="23" t="inlineStr">
        <is>
          <t>Excavación pique</t>
        </is>
      </c>
      <c r="B7" s="23" t="n">
        <v>1770.35</v>
      </c>
      <c r="C7" s="23" t="inlineStr">
        <is>
          <t>m3</t>
        </is>
      </c>
      <c r="D7" s="23" t="inlineStr">
        <is>
          <t>4.1.1</t>
        </is>
      </c>
      <c r="E7" s="23" t="inlineStr">
        <is>
          <t>4,868 UF</t>
        </is>
      </c>
      <c r="F7" s="23" t="inlineStr">
        <is>
          <t>área(12.57m²) × profundidad(20m)</t>
        </is>
      </c>
    </row>
    <row r="8">
      <c r="A8" s="23" t="inlineStr">
        <is>
          <t>Retiro excavación</t>
        </is>
      </c>
      <c r="B8" s="23" t="n">
        <v>1770.35</v>
      </c>
      <c r="C8" s="23" t="inlineStr">
        <is>
          <t>m3</t>
        </is>
      </c>
      <c r="D8" s="23" t="inlineStr">
        <is>
          <t>4.1.2</t>
        </is>
      </c>
      <c r="E8" s="23" t="inlineStr">
        <is>
          <t>2,036 UF</t>
        </is>
      </c>
      <c r="F8" s="23" t="inlineStr">
        <is>
          <t>igual excavación — flete botadero</t>
        </is>
      </c>
    </row>
    <row r="9">
      <c r="A9" s="23" t="inlineStr">
        <is>
          <t>Montaje liner pique</t>
        </is>
      </c>
      <c r="B9" s="23" t="n">
        <v>140.88</v>
      </c>
      <c r="C9" s="23" t="inlineStr">
        <is>
          <t>m</t>
        </is>
      </c>
      <c r="D9" s="23" t="inlineStr">
        <is>
          <t>4.1.3</t>
        </is>
      </c>
      <c r="E9" s="23" t="inlineStr">
        <is>
          <t>845 UF</t>
        </is>
      </c>
      <c r="F9" s="23" t="inlineStr">
        <is>
          <t>profundidad pique (20m = 20 anillos)</t>
        </is>
      </c>
    </row>
    <row r="10">
      <c r="A10" s="23" t="inlineStr">
        <is>
          <t>Montaje escalas+plataformas</t>
        </is>
      </c>
      <c r="B10" s="23" t="n">
        <v>9</v>
      </c>
      <c r="C10" s="23" t="inlineStr">
        <is>
          <t>gl</t>
        </is>
      </c>
      <c r="D10" s="23" t="inlineStr">
        <is>
          <t>4.1.8</t>
        </is>
      </c>
      <c r="E10" s="23" t="inlineStr">
        <is>
          <t>810 UF</t>
        </is>
      </c>
      <c r="F10" s="23" t="inlineStr">
        <is>
          <t>1 gl por pique (STM aporta estructuras)</t>
        </is>
      </c>
    </row>
    <row r="11">
      <c r="A11" s="23" t="inlineStr">
        <is>
          <t>Brocal definitivo</t>
        </is>
      </c>
      <c r="B11" s="23" t="n">
        <v>9</v>
      </c>
      <c r="C11" s="23" t="inlineStr">
        <is>
          <t>gl</t>
        </is>
      </c>
      <c r="D11" s="23" t="inlineStr">
        <is>
          <t>4.1.15</t>
        </is>
      </c>
      <c r="E11" s="23" t="inlineStr">
        <is>
          <t>1,035 UF</t>
        </is>
      </c>
      <c r="F11" s="23" t="inlineStr">
        <is>
          <t>1 gl por pique</t>
        </is>
      </c>
    </row>
    <row r="12">
      <c r="A12" s="23" t="inlineStr">
        <is>
          <t>Excavación túnel</t>
        </is>
      </c>
      <c r="B12" s="23" t="n">
        <v>9414.219999999999</v>
      </c>
      <c r="C12" s="23" t="inlineStr">
        <is>
          <t>m3</t>
        </is>
      </c>
      <c r="D12" s="23" t="inlineStr">
        <is>
          <t>5.1-5.8</t>
        </is>
      </c>
      <c r="E12" s="23" t="inlineStr">
        <is>
          <t>47,071 UF</t>
        </is>
      </c>
      <c r="F12" s="23" t="inlineStr">
        <is>
          <t>área(3.84m²) × longitud / 8 tramos</t>
        </is>
      </c>
    </row>
    <row r="13">
      <c r="A13" s="23" t="inlineStr">
        <is>
          <t>Montaje liner túnel Ø2.21m</t>
        </is>
      </c>
      <c r="B13" s="23" t="n">
        <v>2454.2</v>
      </c>
      <c r="C13" s="23" t="inlineStr">
        <is>
          <t>m</t>
        </is>
      </c>
      <c r="D13" s="23" t="inlineStr">
        <is>
          <t>5.1-5.8</t>
        </is>
      </c>
      <c r="E13" s="23" t="inlineStr">
        <is>
          <t>11,657 UF</t>
        </is>
      </c>
      <c r="F13" s="23" t="inlineStr">
        <is>
          <t>longitud tunel / 8 tramos</t>
        </is>
      </c>
    </row>
    <row r="14">
      <c r="A14" s="23" t="inlineStr">
        <is>
          <t>Radier túnel H30</t>
        </is>
      </c>
      <c r="B14" s="23" t="n">
        <v>813.5700000000001</v>
      </c>
      <c r="C14" s="23" t="inlineStr">
        <is>
          <t>m3</t>
        </is>
      </c>
      <c r="D14" s="23" t="inlineStr">
        <is>
          <t>5.1-5.8</t>
        </is>
      </c>
      <c r="E14" s="23" t="inlineStr">
        <is>
          <t>6,915 UF</t>
        </is>
      </c>
      <c r="F14" s="23" t="inlineStr">
        <is>
          <t>área × espesor(0.15m)</t>
        </is>
      </c>
    </row>
    <row r="16">
      <c r="A16" s="12" t="inlineStr">
        <is>
          <t>2. NO CUBICADO — Requiere estudio específico o suma alzada del contratista</t>
        </is>
      </c>
    </row>
    <row r="17">
      <c r="A17" s="7" t="inlineStr">
        <is>
          <t>Ítem licitación</t>
        </is>
      </c>
      <c r="B17" s="7" t="inlineStr">
        <is>
          <t>Unidad</t>
        </is>
      </c>
      <c r="C17" s="7" t="inlineStr">
        <is>
          <t>Razón / Recomendación</t>
        </is>
      </c>
      <c r="D17" s="24" t="n"/>
      <c r="E17" s="24" t="n"/>
      <c r="F17" s="25" t="n"/>
    </row>
    <row r="18">
      <c r="A18" s="26" t="inlineStr">
        <is>
          <t>4.x.10  Shotcrete</t>
        </is>
      </c>
      <c r="B18" s="26" t="inlineStr">
        <is>
          <t>m³</t>
        </is>
      </c>
      <c r="C18" s="27" t="inlineStr">
        <is>
          <t>Depende de clasificación RMR del terreno (geotecnia)</t>
        </is>
      </c>
      <c r="D18" s="24" t="n"/>
      <c r="E18" s="24" t="n"/>
      <c r="F18" s="25" t="n"/>
    </row>
    <row r="19">
      <c r="A19" s="26" t="inlineStr">
        <is>
          <t>4.x.11  Malla</t>
        </is>
      </c>
      <c r="B19" s="26" t="inlineStr">
        <is>
          <t>kg</t>
        </is>
      </c>
      <c r="C19" s="27" t="inlineStr">
        <is>
          <t>Diseño geotécnico — varía según tipo de suelo</t>
        </is>
      </c>
      <c r="D19" s="24" t="n"/>
      <c r="E19" s="24" t="n"/>
      <c r="F19" s="25" t="n"/>
    </row>
    <row r="20">
      <c r="A20" s="26" t="inlineStr">
        <is>
          <t>4.x.12  Pernos de convergencia</t>
        </is>
      </c>
      <c r="B20" s="26" t="inlineStr">
        <is>
          <t>und</t>
        </is>
      </c>
      <c r="C20" s="27" t="inlineStr">
        <is>
          <t>Análisis convergencia-confinamiento requerido</t>
        </is>
      </c>
      <c r="D20" s="24" t="n"/>
      <c r="E20" s="24" t="n"/>
      <c r="F20" s="25" t="n"/>
    </row>
    <row r="21">
      <c r="A21" s="26" t="inlineStr">
        <is>
          <t>4.x.4   Refuerzo Losa Anillo Fondo</t>
        </is>
      </c>
      <c r="B21" s="26" t="inlineStr">
        <is>
          <t>gl</t>
        </is>
      </c>
      <c r="C21" s="27" t="inlineStr">
        <is>
          <t>Suma alzada — cotización directa contratista</t>
        </is>
      </c>
      <c r="D21" s="24" t="n"/>
      <c r="E21" s="24" t="n"/>
      <c r="F21" s="25" t="n"/>
    </row>
    <row r="22">
      <c r="A22" s="26" t="inlineStr">
        <is>
          <t>4.x.5   Construcción Dren</t>
        </is>
      </c>
      <c r="B22" s="26" t="inlineStr">
        <is>
          <t>gl</t>
        </is>
      </c>
      <c r="C22" s="27" t="inlineStr">
        <is>
          <t>Suma alzada — cotización directa contratista</t>
        </is>
      </c>
      <c r="D22" s="24" t="n"/>
      <c r="E22" s="24" t="n"/>
      <c r="F22" s="25" t="n"/>
    </row>
    <row r="23">
      <c r="A23" s="26" t="inlineStr">
        <is>
          <t>4.x.6   Terminaciones</t>
        </is>
      </c>
      <c r="B23" s="26" t="inlineStr">
        <is>
          <t>gl</t>
        </is>
      </c>
      <c r="C23" s="27" t="inlineStr">
        <is>
          <t>Suma alzada — cotización directa contratista</t>
        </is>
      </c>
      <c r="D23" s="24" t="n"/>
      <c r="E23" s="24" t="n"/>
      <c r="F23" s="25" t="n"/>
    </row>
    <row r="24">
      <c r="A24" s="26" t="inlineStr">
        <is>
          <t>4.x.7   Cobertura pique</t>
        </is>
      </c>
      <c r="B24" s="26" t="inlineStr">
        <is>
          <t>gl</t>
        </is>
      </c>
      <c r="C24" s="27" t="inlineStr">
        <is>
          <t>Suma alzada — cotización directa contratista</t>
        </is>
      </c>
      <c r="D24" s="24" t="n"/>
      <c r="E24" s="24" t="n"/>
      <c r="F24" s="25" t="n"/>
    </row>
    <row r="25">
      <c r="A25" s="26" t="inlineStr">
        <is>
          <t>4.x.9   Refuerzo apertura</t>
        </is>
      </c>
      <c r="B25" s="26" t="inlineStr">
        <is>
          <t>gl</t>
        </is>
      </c>
      <c r="C25" s="27" t="inlineStr">
        <is>
          <t>Suma alzada — cotización directa contratista</t>
        </is>
      </c>
      <c r="D25" s="24" t="n"/>
      <c r="E25" s="24" t="n"/>
      <c r="F25" s="25" t="n"/>
    </row>
    <row r="26">
      <c r="A26" s="26" t="inlineStr">
        <is>
          <t>4.x.14  Brocal temporal</t>
        </is>
      </c>
      <c r="B26" s="26" t="inlineStr">
        <is>
          <t>gl</t>
        </is>
      </c>
      <c r="C26" s="27" t="inlineStr">
        <is>
          <t>Suma alzada — cotización directa contratista</t>
        </is>
      </c>
      <c r="D26" s="24" t="n"/>
      <c r="E26" s="24" t="n"/>
      <c r="F26" s="25" t="n"/>
    </row>
    <row r="27">
      <c r="A27" s="26" t="inlineStr">
        <is>
          <t>Sec. 2  Liner pique Ø4m + liner túnel Ø2.21m</t>
        </is>
      </c>
      <c r="B27" s="26" t="inlineStr">
        <is>
          <t>—</t>
        </is>
      </c>
      <c r="C27" s="27" t="inlineStr">
        <is>
          <t>Aporte STM: mandante suministra el material liner, contratista instala (ítems 4.x.3, 5.x.3)</t>
        </is>
      </c>
      <c r="D27" s="24" t="n"/>
      <c r="E27" s="24" t="n"/>
      <c r="F27" s="25" t="n"/>
    </row>
    <row r="28">
      <c r="A28" s="26" t="inlineStr">
        <is>
          <t>Sec. 2  Escalas y plataformas (estructura)</t>
        </is>
      </c>
      <c r="B28" s="26" t="inlineStr">
        <is>
          <t>—</t>
        </is>
      </c>
      <c r="C28" s="27" t="inlineStr">
        <is>
          <t>Aporte STM: mandante suministra estructura, contratista monta (ítem 4.x.8)</t>
        </is>
      </c>
      <c r="D28" s="24" t="n"/>
      <c r="E28" s="24" t="n"/>
      <c r="F28" s="25" t="n"/>
    </row>
    <row r="29">
      <c r="A29" s="26" t="inlineStr">
        <is>
          <t>Sec. 2  Extractor Soler-Palau TGT/6-1409 (37kW)</t>
        </is>
      </c>
      <c r="B29" s="26" t="inlineStr">
        <is>
          <t>2 un</t>
        </is>
      </c>
      <c r="C29" s="27" t="inlineStr">
        <is>
          <t>Aporte STM: 2 extractores Ø1410mm en bocas P1 y P9. 132.000 m³/h, 200 Pa. Contratista instala. Fuente: STM38110 §3.1 + §3.14</t>
        </is>
      </c>
      <c r="D29" s="24" t="n"/>
      <c r="E29" s="24" t="n"/>
      <c r="F29" s="25" t="n"/>
    </row>
    <row r="30">
      <c r="A30" s="26" t="inlineStr">
        <is>
          <t>Sec. 2  Jet Fan S&amp;P TJHT2/4-315-CN (0.8kW)</t>
        </is>
      </c>
      <c r="B30" s="26" t="inlineStr">
        <is>
          <t>23 un</t>
        </is>
      </c>
      <c r="C30" s="27" t="inlineStr">
        <is>
          <t>Aporte STM: 23 ventiladores en tunel, 24N, 4.500 m³/h, Ø0.425m. Fan1 DM+70m a Fan23 DM+2380m, cada 105m. Fuente: STM38109 §4.5 Tabla 4.2 REV.E 28-01-2026</t>
        </is>
      </c>
      <c r="D30" s="24" t="n"/>
      <c r="E30" s="24" t="n"/>
      <c r="F30" s="25" t="n"/>
    </row>
    <row r="31">
      <c r="A31" s="26" t="inlineStr">
        <is>
          <t>Sec. 1  Actividades Previas y Coordinación</t>
        </is>
      </c>
      <c r="B31" s="26" t="inlineStr">
        <is>
          <t>gl</t>
        </is>
      </c>
      <c r="C31" s="27" t="inlineStr">
        <is>
          <t>Suma alzada — depende de empresa</t>
        </is>
      </c>
      <c r="D31" s="24" t="n"/>
      <c r="E31" s="24" t="n"/>
      <c r="F31" s="25" t="n"/>
    </row>
    <row r="32">
      <c r="A32" s="26" t="inlineStr">
        <is>
          <t>Sec. 3  Instalación de Faenas</t>
        </is>
      </c>
      <c r="B32" s="26" t="inlineStr">
        <is>
          <t>gl</t>
        </is>
      </c>
      <c r="C32" s="27" t="inlineStr">
        <is>
          <t>Suma alzada. IF SS Vitacura (STM-IF-20251009): 3 etapas (Túnel Liner / TL+OOEE / OOCC+OOEE). Contenido típico: contenedores oficinas/baños/bodega, compresor, winche, minicargador, acopio liner.</t>
        </is>
      </c>
      <c r="D32" s="24" t="n"/>
      <c r="E32" s="24" t="n"/>
      <c r="F32" s="25" t="n"/>
    </row>
    <row r="34">
      <c r="A34" s="12" t="inlineStr">
        <is>
          <t>3. PRECIOS DE REFERENCIA MERCADO CHILE 2026 (estimados — solicitar cotización formal)</t>
        </is>
      </c>
    </row>
    <row r="35">
      <c r="A35" s="7" t="inlineStr">
        <is>
          <t>Partida</t>
        </is>
      </c>
      <c r="B35" s="7" t="inlineStr">
        <is>
          <t>Unidad</t>
        </is>
      </c>
      <c r="C35" s="7" t="inlineStr">
        <is>
          <t>UF mín/un</t>
        </is>
      </c>
      <c r="D35" s="7" t="inlineStr">
        <is>
          <t>UF máx/un</t>
        </is>
      </c>
      <c r="E35" s="7" t="inlineStr">
        <is>
          <t>CLP mín/un (aprox)</t>
        </is>
      </c>
      <c r="F35" s="7" t="inlineStr">
        <is>
          <t>Referencia</t>
        </is>
      </c>
    </row>
    <row r="36">
      <c r="A36" s="15" t="inlineStr">
        <is>
          <t>Excavación pique Ø4m</t>
        </is>
      </c>
      <c r="B36" s="15" t="inlineStr">
        <is>
          <t>m³</t>
        </is>
      </c>
      <c r="C36" s="15" t="inlineStr">
        <is>
          <t>2.00</t>
        </is>
      </c>
      <c r="D36" s="15" t="inlineStr">
        <is>
          <t>3.50</t>
        </is>
      </c>
      <c r="E36" s="15" t="inlineStr">
        <is>
          <t>$77,000 – $134,750</t>
        </is>
      </c>
      <c r="F36" s="15" t="inlineStr">
        <is>
          <t>ONDAC 2026</t>
        </is>
      </c>
    </row>
    <row r="37">
      <c r="A37" s="15" t="inlineStr">
        <is>
          <t>Retiro excavación pique</t>
        </is>
      </c>
      <c r="B37" s="15" t="inlineStr">
        <is>
          <t>m³</t>
        </is>
      </c>
      <c r="C37" s="15" t="inlineStr">
        <is>
          <t>0.80</t>
        </is>
      </c>
      <c r="D37" s="15" t="inlineStr">
        <is>
          <t>1.50</t>
        </is>
      </c>
      <c r="E37" s="15" t="inlineStr">
        <is>
          <t>$30,800 – $57,750</t>
        </is>
      </c>
      <c r="F37" s="15" t="inlineStr">
        <is>
          <t>Mercado Santiago</t>
        </is>
      </c>
    </row>
    <row r="38">
      <c r="A38" s="15" t="inlineStr">
        <is>
          <t>Montaje liner pique Ø4m (solo inst.)</t>
        </is>
      </c>
      <c r="B38" s="15" t="inlineStr">
        <is>
          <t>m</t>
        </is>
      </c>
      <c r="C38" s="15" t="inlineStr">
        <is>
          <t>4.00</t>
        </is>
      </c>
      <c r="D38" s="15" t="inlineStr">
        <is>
          <t>8.00</t>
        </is>
      </c>
      <c r="E38" s="15" t="inlineStr">
        <is>
          <t>$154,000 – $308,000</t>
        </is>
      </c>
      <c r="F38" s="15" t="inlineStr">
        <is>
          <t>Est. mercado</t>
        </is>
      </c>
    </row>
    <row r="39">
      <c r="A39" s="15" t="inlineStr">
        <is>
          <t>Shotcrete en pique</t>
        </is>
      </c>
      <c r="B39" s="15" t="inlineStr">
        <is>
          <t>m³</t>
        </is>
      </c>
      <c r="C39" s="15" t="inlineStr">
        <is>
          <t>4.50</t>
        </is>
      </c>
      <c r="D39" s="15" t="inlineStr">
        <is>
          <t>7.00</t>
        </is>
      </c>
      <c r="E39" s="15" t="inlineStr">
        <is>
          <t>$173,250 – $269,500</t>
        </is>
      </c>
      <c r="F39" s="15" t="inlineStr">
        <is>
          <t>ONDAC 2026</t>
        </is>
      </c>
    </row>
    <row r="40">
      <c r="A40" s="15" t="inlineStr">
        <is>
          <t>Malla electrosoldada</t>
        </is>
      </c>
      <c r="B40" s="15" t="inlineStr">
        <is>
          <t>kg</t>
        </is>
      </c>
      <c r="C40" s="15" t="inlineStr">
        <is>
          <t>0.03</t>
        </is>
      </c>
      <c r="D40" s="15" t="inlineStr">
        <is>
          <t>0.05</t>
        </is>
      </c>
      <c r="E40" s="15" t="inlineStr">
        <is>
          <t>$1,155 – $1,925</t>
        </is>
      </c>
      <c r="F40" s="15" t="inlineStr">
        <is>
          <t>ONDAC 2026</t>
        </is>
      </c>
    </row>
    <row r="41">
      <c r="A41" s="15" t="inlineStr">
        <is>
          <t>Montaje escalas+plataformas</t>
        </is>
      </c>
      <c r="B41" s="15" t="inlineStr">
        <is>
          <t>gl</t>
        </is>
      </c>
      <c r="C41" s="15" t="inlineStr">
        <is>
          <t>60.00</t>
        </is>
      </c>
      <c r="D41" s="15" t="inlineStr">
        <is>
          <t>120.00</t>
        </is>
      </c>
      <c r="E41" s="15" t="inlineStr">
        <is>
          <t>$2,310,000 – $4,620,000</t>
        </is>
      </c>
      <c r="F41" s="15" t="inlineStr">
        <is>
          <t>Est. mercado/pique</t>
        </is>
      </c>
    </row>
    <row r="42">
      <c r="A42" s="15" t="inlineStr">
        <is>
          <t>Brocal definitivo</t>
        </is>
      </c>
      <c r="B42" s="15" t="inlineStr">
        <is>
          <t>gl</t>
        </is>
      </c>
      <c r="C42" s="15" t="inlineStr">
        <is>
          <t>80.00</t>
        </is>
      </c>
      <c r="D42" s="15" t="inlineStr">
        <is>
          <t>150.00</t>
        </is>
      </c>
      <c r="E42" s="15" t="inlineStr">
        <is>
          <t>$3,080,000 – $5,775,000</t>
        </is>
      </c>
      <c r="F42" s="15" t="inlineStr">
        <is>
          <t>Est. mercado</t>
        </is>
      </c>
    </row>
    <row r="43">
      <c r="A43" s="15" t="inlineStr">
        <is>
          <t>Excavación túnel Ø2.21m</t>
        </is>
      </c>
      <c r="B43" s="15" t="inlineStr">
        <is>
          <t>m³</t>
        </is>
      </c>
      <c r="C43" s="15" t="inlineStr">
        <is>
          <t>3.50</t>
        </is>
      </c>
      <c r="D43" s="15" t="inlineStr">
        <is>
          <t>6.00</t>
        </is>
      </c>
      <c r="E43" s="15" t="inlineStr">
        <is>
          <t>$134,750 – $231,000</t>
        </is>
      </c>
      <c r="F43" s="15" t="inlineStr">
        <is>
          <t>ONDAC 2026 tunel urbano</t>
        </is>
      </c>
    </row>
    <row r="44">
      <c r="A44" s="15" t="inlineStr">
        <is>
          <t>Montaje liner túnel Ø2.21m</t>
        </is>
      </c>
      <c r="B44" s="15" t="inlineStr">
        <is>
          <t>m</t>
        </is>
      </c>
      <c r="C44" s="15" t="inlineStr">
        <is>
          <t>3.50</t>
        </is>
      </c>
      <c r="D44" s="15" t="inlineStr">
        <is>
          <t>6.00</t>
        </is>
      </c>
      <c r="E44" s="15" t="inlineStr">
        <is>
          <t>$134,750 – $231,000</t>
        </is>
      </c>
      <c r="F44" s="15" t="inlineStr">
        <is>
          <t>Est. instalación</t>
        </is>
      </c>
    </row>
    <row r="45">
      <c r="A45" s="15" t="inlineStr">
        <is>
          <t>Radier túnel H30</t>
        </is>
      </c>
      <c r="B45" s="15" t="inlineStr">
        <is>
          <t>m³</t>
        </is>
      </c>
      <c r="C45" s="15" t="inlineStr">
        <is>
          <t>7.00</t>
        </is>
      </c>
      <c r="D45" s="15" t="inlineStr">
        <is>
          <t>10.00</t>
        </is>
      </c>
      <c r="E45" s="15" t="inlineStr">
        <is>
          <t>$269,500 – $385,000</t>
        </is>
      </c>
      <c r="F45" s="15" t="inlineStr">
        <is>
          <t>ONDAC 2026</t>
        </is>
      </c>
    </row>
    <row r="46">
      <c r="A46" s="15" t="inlineStr">
        <is>
          <t>Extractor Soler-Palau TGT/6-1409 (37kW) — 2 un</t>
        </is>
      </c>
      <c r="B46" s="15" t="inlineStr">
        <is>
          <t>un</t>
        </is>
      </c>
      <c r="C46" s="15" t="inlineStr">
        <is>
          <t>800.00</t>
        </is>
      </c>
      <c r="D46" s="15" t="inlineStr">
        <is>
          <t>1200.00</t>
        </is>
      </c>
      <c r="E46" s="15" t="inlineStr">
        <is>
          <t>$30,800,000 – $46,200,000</t>
        </is>
      </c>
      <c r="F46" s="15" t="inlineStr">
        <is>
          <t>STM38110 §3.14 — suministro STM, instalación contratista</t>
        </is>
      </c>
    </row>
    <row r="47">
      <c r="A47" s="15" t="inlineStr">
        <is>
          <t>Jet Fan S&amp;P TJHT/2/4-315-C (1.1kW) — N un</t>
        </is>
      </c>
      <c r="B47" s="15" t="inlineStr">
        <is>
          <t>un</t>
        </is>
      </c>
      <c r="C47" s="15" t="inlineStr">
        <is>
          <t>20.00</t>
        </is>
      </c>
      <c r="D47" s="15" t="inlineStr">
        <is>
          <t>40.00</t>
        </is>
      </c>
      <c r="E47" s="15" t="inlineStr">
        <is>
          <t>$770,000 – $1,540,000</t>
        </is>
      </c>
      <c r="F47" s="15" t="inlineStr">
        <is>
          <t>STM38110 §2.12 — suministro STM, cant. pendiente STM38109</t>
        </is>
      </c>
    </row>
    <row r="49">
      <c r="A49" s="12" t="inlineStr">
        <is>
          <t>4. ANÁLISIS DE SENSATEZ — PROYECTO COMPLETO (9 piques + 8 tramos)</t>
        </is>
      </c>
    </row>
    <row r="50">
      <c r="A50" s="7" t="inlineStr">
        <is>
          <t>Partida</t>
        </is>
      </c>
      <c r="B50" s="7" t="inlineStr">
        <is>
          <t>Cant.</t>
        </is>
      </c>
      <c r="C50" s="7" t="inlineStr">
        <is>
          <t>UF/un Mín</t>
        </is>
      </c>
      <c r="D50" s="7" t="inlineStr">
        <is>
          <t>UF/un Máx</t>
        </is>
      </c>
      <c r="E50" s="7" t="inlineStr">
        <is>
          <t>Subtotal Mín (UF)</t>
        </is>
      </c>
      <c r="F50" s="7" t="inlineStr">
        <is>
          <t>Subtotal Máx (UF)</t>
        </is>
      </c>
    </row>
    <row r="51">
      <c r="A51" s="15" t="inlineStr">
        <is>
          <t>Excavación piques</t>
        </is>
      </c>
      <c r="B51" s="15" t="n">
        <v>1770.3</v>
      </c>
      <c r="C51" s="15" t="inlineStr">
        <is>
          <t>2.00</t>
        </is>
      </c>
      <c r="D51" s="15" t="inlineStr">
        <is>
          <t>3.50</t>
        </is>
      </c>
      <c r="E51" s="15" t="inlineStr">
        <is>
          <t>3,540.7</t>
        </is>
      </c>
      <c r="F51" s="15" t="inlineStr">
        <is>
          <t>6,196.2</t>
        </is>
      </c>
    </row>
    <row r="52">
      <c r="A52" s="15" t="inlineStr">
        <is>
          <t>Retiro excav. piques</t>
        </is>
      </c>
      <c r="B52" s="15" t="n">
        <v>1770.3</v>
      </c>
      <c r="C52" s="15" t="inlineStr">
        <is>
          <t>0.80</t>
        </is>
      </c>
      <c r="D52" s="15" t="inlineStr">
        <is>
          <t>1.50</t>
        </is>
      </c>
      <c r="E52" s="15" t="inlineStr">
        <is>
          <t>1,416.3</t>
        </is>
      </c>
      <c r="F52" s="15" t="inlineStr">
        <is>
          <t>2,655.5</t>
        </is>
      </c>
    </row>
    <row r="53">
      <c r="A53" s="15" t="inlineStr">
        <is>
          <t>Montaje liner piques</t>
        </is>
      </c>
      <c r="B53" s="15" t="n">
        <v>140.9</v>
      </c>
      <c r="C53" s="15" t="inlineStr">
        <is>
          <t>4.00</t>
        </is>
      </c>
      <c r="D53" s="15" t="inlineStr">
        <is>
          <t>8.00</t>
        </is>
      </c>
      <c r="E53" s="15" t="inlineStr">
        <is>
          <t>563.6</t>
        </is>
      </c>
      <c r="F53" s="15" t="inlineStr">
        <is>
          <t>1,127.2</t>
        </is>
      </c>
    </row>
    <row r="54">
      <c r="A54" s="15" t="inlineStr">
        <is>
          <t>Montaje escalas+plataformas</t>
        </is>
      </c>
      <c r="B54" s="15" t="n">
        <v>9</v>
      </c>
      <c r="C54" s="15" t="inlineStr">
        <is>
          <t>60.00</t>
        </is>
      </c>
      <c r="D54" s="15" t="inlineStr">
        <is>
          <t>120.00</t>
        </is>
      </c>
      <c r="E54" s="15" t="inlineStr">
        <is>
          <t>540.0</t>
        </is>
      </c>
      <c r="F54" s="15" t="inlineStr">
        <is>
          <t>1,080.0</t>
        </is>
      </c>
    </row>
    <row r="55">
      <c r="A55" s="15" t="inlineStr">
        <is>
          <t>Brocal definitivo</t>
        </is>
      </c>
      <c r="B55" s="15" t="n">
        <v>9</v>
      </c>
      <c r="C55" s="15" t="inlineStr">
        <is>
          <t>80.00</t>
        </is>
      </c>
      <c r="D55" s="15" t="inlineStr">
        <is>
          <t>150.00</t>
        </is>
      </c>
      <c r="E55" s="15" t="inlineStr">
        <is>
          <t>720.0</t>
        </is>
      </c>
      <c r="F55" s="15" t="inlineStr">
        <is>
          <t>1,350.0</t>
        </is>
      </c>
    </row>
    <row r="56">
      <c r="A56" s="15" t="inlineStr">
        <is>
          <t>Excavación túnel</t>
        </is>
      </c>
      <c r="B56" s="15" t="n">
        <v>9414.200000000001</v>
      </c>
      <c r="C56" s="15" t="inlineStr">
        <is>
          <t>3.50</t>
        </is>
      </c>
      <c r="D56" s="15" t="inlineStr">
        <is>
          <t>6.00</t>
        </is>
      </c>
      <c r="E56" s="15" t="inlineStr">
        <is>
          <t>32,949.8</t>
        </is>
      </c>
      <c r="F56" s="15" t="inlineStr">
        <is>
          <t>56,485.3</t>
        </is>
      </c>
    </row>
    <row r="57">
      <c r="A57" s="15" t="inlineStr">
        <is>
          <t>Montaje liner túnel</t>
        </is>
      </c>
      <c r="B57" s="15" t="n">
        <v>2454.2</v>
      </c>
      <c r="C57" s="15" t="inlineStr">
        <is>
          <t>3.50</t>
        </is>
      </c>
      <c r="D57" s="15" t="inlineStr">
        <is>
          <t>6.00</t>
        </is>
      </c>
      <c r="E57" s="15" t="inlineStr">
        <is>
          <t>8,589.7</t>
        </is>
      </c>
      <c r="F57" s="15" t="inlineStr">
        <is>
          <t>14,725.2</t>
        </is>
      </c>
    </row>
    <row r="58">
      <c r="A58" s="15" t="inlineStr">
        <is>
          <t>Radier H30</t>
        </is>
      </c>
      <c r="B58" s="15" t="n">
        <v>813.6</v>
      </c>
      <c r="C58" s="15" t="inlineStr">
        <is>
          <t>7.00</t>
        </is>
      </c>
      <c r="D58" s="15" t="inlineStr">
        <is>
          <t>10.00</t>
        </is>
      </c>
      <c r="E58" s="15" t="inlineStr">
        <is>
          <t>5,695.1</t>
        </is>
      </c>
      <c r="F58" s="15" t="inlineStr">
        <is>
          <t>8,135.8</t>
        </is>
      </c>
    </row>
    <row r="59">
      <c r="A59" s="28" t="inlineStr">
        <is>
          <t>TOTAL ÍTEMS CUBICADOS</t>
        </is>
      </c>
      <c r="B59" s="28" t="inlineStr"/>
      <c r="C59" s="28" t="inlineStr"/>
      <c r="D59" s="28" t="inlineStr"/>
      <c r="E59" s="28" t="inlineStr">
        <is>
          <t>54,015 UF  (~$2079M CLP)</t>
        </is>
      </c>
      <c r="F59" s="28" t="inlineStr">
        <is>
          <t>91,755 UF  (~$3532M CLP)</t>
        </is>
      </c>
    </row>
    <row r="60">
      <c r="A60" s="22" t="inlineStr">
        <is>
          <t>⚠ NOTA: El rango anterior NO incluye shotcrete, malla, pernos, terminaciones, instalación de faenas ni actividades previas (Sec. 1, 3) — típicamente +30-50% adicional.</t>
        </is>
      </c>
    </row>
    <row r="62">
      <c r="A62" s="12" t="inlineStr">
        <is>
          <t>5. CANTIDADES PRE-EXISTENTES EN TEMPLATE (de la licitación original)</t>
        </is>
      </c>
    </row>
    <row r="63">
      <c r="A63" s="7" t="inlineStr">
        <is>
          <t>Ítem</t>
        </is>
      </c>
      <c r="B63" s="7" t="inlineStr">
        <is>
          <t>Descripción</t>
        </is>
      </c>
      <c r="C63" s="7" t="inlineStr">
        <is>
          <t>Unidad</t>
        </is>
      </c>
      <c r="D63" s="7" t="inlineStr">
        <is>
          <t>Cantidad original</t>
        </is>
      </c>
      <c r="E63" s="7" t="inlineStr"/>
      <c r="F63" s="7" t="inlineStr">
        <is>
          <t>Fuente</t>
        </is>
      </c>
    </row>
    <row r="64">
      <c r="A64" s="29" t="inlineStr">
        <is>
          <t>5.1.4</t>
        </is>
      </c>
      <c r="B64" s="29" t="inlineStr">
        <is>
          <t>Pernos frente fibra vidrio 4m (eventual)</t>
        </is>
      </c>
      <c r="C64" s="29" t="inlineStr">
        <is>
          <t>und</t>
        </is>
      </c>
      <c r="D64" s="29" t="n">
        <v>39.54</v>
      </c>
      <c r="F64" s="29" t="inlineStr">
        <is>
          <t>Cuadro precios STM rev.1 06/04/2026</t>
        </is>
      </c>
    </row>
    <row r="65">
      <c r="A65" s="29" t="inlineStr">
        <is>
          <t>5.1.5</t>
        </is>
      </c>
      <c r="B65" s="29" t="inlineStr">
        <is>
          <t>Shotcrete frente (eventual)</t>
        </is>
      </c>
      <c r="C65" s="29" t="inlineStr">
        <is>
          <t>m³</t>
        </is>
      </c>
      <c r="D65" s="29" t="n">
        <v>19.77</v>
      </c>
      <c r="F65" s="29" t="inlineStr">
        <is>
          <t>Cuadro precios STM rev.1 06/04/2026</t>
        </is>
      </c>
    </row>
    <row r="66">
      <c r="A66" s="29" t="inlineStr">
        <is>
          <t>5.1.6</t>
        </is>
      </c>
      <c r="B66" s="29" t="inlineStr">
        <is>
          <t>Paraguas micropilotes (eventual)</t>
        </is>
      </c>
      <c r="C66" s="29" t="inlineStr">
        <is>
          <t>und</t>
        </is>
      </c>
      <c r="D66" s="29" t="n">
        <v>24</v>
      </c>
      <c r="F66" s="29" t="inlineStr">
        <is>
          <t>Cuadro precios STM rev.1 06/04/2026</t>
        </is>
      </c>
    </row>
    <row r="67">
      <c r="A67" s="29" t="inlineStr">
        <is>
          <t>5.2.4–5.8.4</t>
        </is>
      </c>
      <c r="B67" s="29" t="inlineStr">
        <is>
          <t>Pernos frente (tramos 2-8)</t>
        </is>
      </c>
      <c r="C67" s="29" t="inlineStr">
        <is>
          <t>und</t>
        </is>
      </c>
      <c r="D67" s="29" t="inlineStr">
        <is>
          <t>36-36 por tramo</t>
        </is>
      </c>
      <c r="F67" s="29" t="inlineStr">
        <is>
          <t>Cuadro precios STM rev.1 06/04/2026</t>
        </is>
      </c>
    </row>
    <row r="68">
      <c r="A68" s="29" t="inlineStr">
        <is>
          <t>7.1</t>
        </is>
      </c>
      <c r="B68" s="29" t="inlineStr">
        <is>
          <t>Base binder asfalto</t>
        </is>
      </c>
      <c r="C68" s="29" t="inlineStr">
        <is>
          <t>m²</t>
        </is>
      </c>
      <c r="D68" s="29" t="n">
        <v>317.61</v>
      </c>
      <c r="F68" s="29" t="inlineStr">
        <is>
          <t>Cuadro precios STM rev.1 06/04/2026</t>
        </is>
      </c>
    </row>
    <row r="69">
      <c r="A69" s="29" t="inlineStr">
        <is>
          <t>7.2</t>
        </is>
      </c>
      <c r="B69" s="29" t="inlineStr">
        <is>
          <t>Base chancada CBR80</t>
        </is>
      </c>
      <c r="C69" s="29" t="inlineStr">
        <is>
          <t>m³</t>
        </is>
      </c>
      <c r="D69" s="29" t="n">
        <v>66.7</v>
      </c>
      <c r="F69" s="29" t="inlineStr">
        <is>
          <t>Cuadro precios STM rev.1 06/04/2026</t>
        </is>
      </c>
    </row>
    <row r="70">
      <c r="A70" s="29" t="inlineStr">
        <is>
          <t>7.3</t>
        </is>
      </c>
      <c r="B70" s="29" t="inlineStr">
        <is>
          <t>Calzada con tratamiento asfaltico</t>
        </is>
      </c>
      <c r="C70" s="29" t="inlineStr">
        <is>
          <t>m²</t>
        </is>
      </c>
      <c r="D70" s="29" t="n">
        <v>317.61</v>
      </c>
      <c r="F70" s="29" t="inlineStr">
        <is>
          <t>Cuadro precios STM rev.1 06/04/2026</t>
        </is>
      </c>
    </row>
    <row r="71">
      <c r="A71" s="29" t="inlineStr">
        <is>
          <t>7.5</t>
        </is>
      </c>
      <c r="B71" s="29" t="inlineStr">
        <is>
          <t>Excavación dura y transporte botadero</t>
        </is>
      </c>
      <c r="C71" s="29" t="inlineStr">
        <is>
          <t>m³</t>
        </is>
      </c>
      <c r="D71" s="29" t="n">
        <v>343.02</v>
      </c>
      <c r="F71" s="29" t="inlineStr">
        <is>
          <t>Cuadro precios STM rev.1 06/04/2026</t>
        </is>
      </c>
    </row>
    <row r="72">
      <c r="A72" s="29" t="inlineStr">
        <is>
          <t>7.10</t>
        </is>
      </c>
      <c r="B72" s="29" t="inlineStr">
        <is>
          <t>Entibación excavaciones</t>
        </is>
      </c>
      <c r="C72" s="29" t="inlineStr">
        <is>
          <t>m</t>
        </is>
      </c>
      <c r="D72" s="29" t="n">
        <v>90.75</v>
      </c>
      <c r="F72" s="29" t="inlineStr">
        <is>
          <t>Cuadro precios STM rev.1 06/04/2026</t>
        </is>
      </c>
    </row>
    <row r="73">
      <c r="A73" s="29" t="inlineStr">
        <is>
          <t>7.11</t>
        </is>
      </c>
      <c r="B73" s="29" t="inlineStr">
        <is>
          <t>Reposición áreas verdes</t>
        </is>
      </c>
      <c r="C73" s="29" t="inlineStr">
        <is>
          <t>m²</t>
        </is>
      </c>
      <c r="D73" s="29" t="n">
        <v>60</v>
      </c>
      <c r="F73" s="29" t="inlineStr">
        <is>
          <t>Cuadro precios STM rev.1 06/04/2026</t>
        </is>
      </c>
    </row>
    <row r="74">
      <c r="A74" s="29" t="inlineStr">
        <is>
          <t>7.12</t>
        </is>
      </c>
      <c r="B74" s="29" t="inlineStr">
        <is>
          <t>Reposición soleras</t>
        </is>
      </c>
      <c r="C74" s="29" t="inlineStr">
        <is>
          <t>m</t>
        </is>
      </c>
      <c r="D74" s="29" t="n">
        <v>40</v>
      </c>
      <c r="F74" s="29" t="inlineStr">
        <is>
          <t>Cuadro precios STM rev.1 06/04/2026</t>
        </is>
      </c>
    </row>
    <row r="75">
      <c r="A75" s="29" t="inlineStr">
        <is>
          <t>7.13</t>
        </is>
      </c>
      <c r="B75" s="29" t="inlineStr">
        <is>
          <t>Demolición y reposición veredas</t>
        </is>
      </c>
      <c r="C75" s="29" t="inlineStr">
        <is>
          <t>m²</t>
        </is>
      </c>
      <c r="D75" s="29" t="n">
        <v>20</v>
      </c>
      <c r="F75" s="29" t="inlineStr">
        <is>
          <t>Cuadro precios STM rev.1 06/04/2026</t>
        </is>
      </c>
    </row>
    <row r="76">
      <c r="A76" s="29" t="inlineStr">
        <is>
          <t>13.2</t>
        </is>
      </c>
      <c r="B76" s="29" t="inlineStr">
        <is>
          <t>Retiro y transporte aguas efluentes</t>
        </is>
      </c>
      <c r="C76" s="29" t="inlineStr">
        <is>
          <t>m³</t>
        </is>
      </c>
      <c r="D76" s="29" t="n">
        <v>1000</v>
      </c>
      <c r="F76" s="29" t="inlineStr">
        <is>
          <t>Cuadro precios STM rev.1 06/04/2026</t>
        </is>
      </c>
    </row>
  </sheetData>
  <mergeCells count="39">
    <mergeCell ref="A16:F16"/>
    <mergeCell ref="E70"/>
    <mergeCell ref="C17:F17"/>
    <mergeCell ref="C23:F23"/>
    <mergeCell ref="E76"/>
    <mergeCell ref="E72"/>
    <mergeCell ref="C32:F32"/>
    <mergeCell ref="A3:F3"/>
    <mergeCell ref="C19:F19"/>
    <mergeCell ref="E66"/>
    <mergeCell ref="C28:F28"/>
    <mergeCell ref="E75"/>
    <mergeCell ref="A2:F2"/>
    <mergeCell ref="C18:F18"/>
    <mergeCell ref="A5:F5"/>
    <mergeCell ref="E68"/>
    <mergeCell ref="C30:F30"/>
    <mergeCell ref="E71"/>
    <mergeCell ref="A62:F62"/>
    <mergeCell ref="C24:F24"/>
    <mergeCell ref="E67"/>
    <mergeCell ref="E73"/>
    <mergeCell ref="E64"/>
    <mergeCell ref="C20:F20"/>
    <mergeCell ref="C26:F26"/>
    <mergeCell ref="C29:F29"/>
    <mergeCell ref="A34:F34"/>
    <mergeCell ref="E63"/>
    <mergeCell ref="C25:F25"/>
    <mergeCell ref="C22:F22"/>
    <mergeCell ref="A49:F49"/>
    <mergeCell ref="E69"/>
    <mergeCell ref="C31:F31"/>
    <mergeCell ref="E65"/>
    <mergeCell ref="A60:F60"/>
    <mergeCell ref="E74"/>
    <mergeCell ref="A1:F1"/>
    <mergeCell ref="C21:F21"/>
    <mergeCell ref="C27:F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7"/>
  <sheetViews>
    <sheetView workbookViewId="0">
      <selection activeCell="A1" sqref="A1"/>
    </sheetView>
  </sheetViews>
  <sheetFormatPr baseColWidth="8" defaultRowHeight="15"/>
  <cols>
    <col width="5" customWidth="1" min="1" max="1"/>
    <col width="35" customWidth="1" min="2" max="2"/>
    <col width="38" customWidth="1" min="3" max="3"/>
    <col width="18" customWidth="1" min="4" max="4"/>
    <col width="18" customWidth="1" min="5" max="5"/>
    <col width="38" customWidth="1" min="6" max="6"/>
  </cols>
  <sheetData>
    <row r="1" ht="22" customHeight="1">
      <c r="A1" s="30" t="inlineStr">
        <is>
          <t>MEMORIA DE CÁLCULO — TÚNEL LAT 2×110 kV VITACURA-PROVIDENCIA</t>
        </is>
      </c>
    </row>
    <row r="2">
      <c r="A2" s="31" t="inlineStr">
        <is>
          <t>Documento generado: 2026-05-19 | Licitación: 2025-25-TX-SS-RM | Mandante: STM</t>
        </is>
      </c>
    </row>
    <row r="4">
      <c r="A4" s="12" t="inlineStr">
        <is>
          <t>1. CONSTANTES GEOMÉTRICAS</t>
        </is>
      </c>
    </row>
    <row r="5">
      <c r="A5" s="7" t="inlineStr">
        <is>
          <t>#</t>
        </is>
      </c>
      <c r="B5" s="7" t="inlineStr">
        <is>
          <t>Constante</t>
        </is>
      </c>
      <c r="C5" s="7" t="inlineStr">
        <is>
          <t>Fórmula</t>
        </is>
      </c>
      <c r="D5" s="7" t="inlineStr">
        <is>
          <t>Valor</t>
        </is>
      </c>
      <c r="E5" s="7" t="inlineStr">
        <is>
          <t>Unidad</t>
        </is>
      </c>
      <c r="F5" s="7" t="inlineStr">
        <is>
          <t>Fuente</t>
        </is>
      </c>
    </row>
    <row r="6">
      <c r="A6" s="15" t="inlineStr">
        <is>
          <t>1.1</t>
        </is>
      </c>
      <c r="B6" s="15" t="inlineStr">
        <is>
          <t>Área sección pique</t>
        </is>
      </c>
      <c r="C6" s="15" t="inlineStr">
        <is>
          <t>π × r² = π × (4.0/2)²</t>
        </is>
      </c>
      <c r="D6" s="15" t="inlineStr">
        <is>
          <t>12.5664</t>
        </is>
      </c>
      <c r="E6" s="15" t="inlineStr">
        <is>
          <t>m²</t>
        </is>
      </c>
      <c r="F6" s="15" t="inlineStr">
        <is>
          <t>STM38136 Ø interior pique</t>
        </is>
      </c>
    </row>
    <row r="7">
      <c r="A7" s="15" t="inlineStr">
        <is>
          <t>1.2</t>
        </is>
      </c>
      <c r="B7" s="15" t="inlineStr">
        <is>
          <t>Área sección túnel liner</t>
        </is>
      </c>
      <c r="C7" s="15" t="inlineStr">
        <is>
          <t>π × r² = π × (2.21/2)²</t>
        </is>
      </c>
      <c r="D7" s="15" t="inlineStr">
        <is>
          <t>3.8359</t>
        </is>
      </c>
      <c r="E7" s="15" t="inlineStr">
        <is>
          <t>m²</t>
        </is>
      </c>
      <c r="F7" s="15" t="inlineStr">
        <is>
          <t>STM38136 Ø interior liner</t>
        </is>
      </c>
    </row>
    <row r="8">
      <c r="A8" s="15" t="inlineStr">
        <is>
          <t>1.3</t>
        </is>
      </c>
      <c r="B8" s="15" t="inlineStr">
        <is>
          <t>Radier H30 volumen por metro</t>
        </is>
      </c>
      <c r="C8" s="15" t="inlineStr">
        <is>
          <t>ancho × espesor = 2.21 × 0.15</t>
        </is>
      </c>
      <c r="D8" s="15" t="inlineStr">
        <is>
          <t>0.3315</t>
        </is>
      </c>
      <c r="E8" s="15" t="inlineStr">
        <is>
          <t>m³/m</t>
        </is>
      </c>
      <c r="F8" s="15" t="inlineStr">
        <is>
          <t>Diseño estructural radier túnel</t>
        </is>
      </c>
    </row>
    <row r="9">
      <c r="A9" s="15" t="inlineStr">
        <is>
          <t>1.4</t>
        </is>
      </c>
      <c r="B9" s="15" t="inlineStr">
        <is>
          <t>Diámetro fundación pique</t>
        </is>
      </c>
      <c r="C9" s="15" t="inlineStr">
        <is>
          <t>4.20 m externo</t>
        </is>
      </c>
      <c r="D9" s="15" t="inlineStr">
        <is>
          <t>4.20</t>
        </is>
      </c>
      <c r="E9" s="15" t="inlineStr">
        <is>
          <t>m</t>
        </is>
      </c>
      <c r="F9" s="15" t="inlineStr">
        <is>
          <t>STM38020 detalle típico</t>
        </is>
      </c>
    </row>
    <row r="10">
      <c r="A10" s="15" t="inlineStr">
        <is>
          <t>1.5</t>
        </is>
      </c>
      <c r="B10" s="15" t="inlineStr">
        <is>
          <t>Espesor liner túnel (PL)</t>
        </is>
      </c>
      <c r="C10" s="15" t="inlineStr">
        <is>
          <t>5 mm</t>
        </is>
      </c>
      <c r="D10" s="15" t="inlineStr">
        <is>
          <t>0.005</t>
        </is>
      </c>
      <c r="E10" s="15" t="inlineStr">
        <is>
          <t>m</t>
        </is>
      </c>
      <c r="F10" s="15" t="inlineStr">
        <is>
          <t>STM38020 nota técnica</t>
        </is>
      </c>
    </row>
    <row r="12">
      <c r="A12" s="12" t="inlineStr">
        <is>
          <t>2. PROFUNDIDADES DE PIQUES — NV terreno - NV invert liner</t>
        </is>
      </c>
    </row>
    <row r="13">
      <c r="A13" s="7" t="inlineStr">
        <is>
          <t>Pique</t>
        </is>
      </c>
      <c r="B13" s="7" t="inlineStr">
        <is>
          <t>NV terreno (m.s.n.m)</t>
        </is>
      </c>
      <c r="C13" s="7" t="inlineStr">
        <is>
          <t>NV liner invert (m.s.n.m)</t>
        </is>
      </c>
      <c r="D13" s="7" t="inlineStr">
        <is>
          <t>Profundidad (m)</t>
        </is>
      </c>
      <c r="E13" s="7" t="inlineStr">
        <is>
          <t>Excavación (m³)</t>
        </is>
      </c>
      <c r="F13" s="7" t="inlineStr">
        <is>
          <t>Fuente plano</t>
        </is>
      </c>
    </row>
    <row r="14">
      <c r="A14" s="23" t="inlineStr">
        <is>
          <t>P1</t>
        </is>
      </c>
      <c r="B14" s="23" t="inlineStr">
        <is>
          <t>625.06</t>
        </is>
      </c>
      <c r="C14" s="23" t="inlineStr">
        <is>
          <t>604.97</t>
        </is>
      </c>
      <c r="D14" s="23" t="inlineStr">
        <is>
          <t>20.09</t>
        </is>
      </c>
      <c r="E14" s="23" t="n">
        <v>252.46</v>
      </c>
      <c r="F14" s="23" t="inlineStr">
        <is>
          <t>STM38020</t>
        </is>
      </c>
    </row>
    <row r="15">
      <c r="A15" s="23" t="inlineStr">
        <is>
          <t>P2</t>
        </is>
      </c>
      <c r="B15" s="23" t="inlineStr">
        <is>
          <t>621.50</t>
        </is>
      </c>
      <c r="C15" s="23" t="inlineStr">
        <is>
          <t>602.83</t>
        </is>
      </c>
      <c r="D15" s="23" t="inlineStr">
        <is>
          <t>18.67</t>
        </is>
      </c>
      <c r="E15" s="23" t="n">
        <v>234.61</v>
      </c>
      <c r="F15" s="23" t="inlineStr">
        <is>
          <t>STM38020</t>
        </is>
      </c>
    </row>
    <row r="16">
      <c r="A16" s="23" t="inlineStr">
        <is>
          <t>P3</t>
        </is>
      </c>
      <c r="B16" s="23" t="inlineStr">
        <is>
          <t>619.18</t>
        </is>
      </c>
      <c r="C16" s="23" t="inlineStr">
        <is>
          <t>601.88</t>
        </is>
      </c>
      <c r="D16" s="23" t="inlineStr">
        <is>
          <t>17.30</t>
        </is>
      </c>
      <c r="E16" s="23" t="n">
        <v>217.4</v>
      </c>
      <c r="F16" s="23" t="inlineStr">
        <is>
          <t>STM38020</t>
        </is>
      </c>
    </row>
    <row r="17">
      <c r="A17" s="23" t="inlineStr">
        <is>
          <t>P4</t>
        </is>
      </c>
      <c r="B17" s="23" t="inlineStr">
        <is>
          <t>612.91</t>
        </is>
      </c>
      <c r="C17" s="23" t="inlineStr">
        <is>
          <t>597.93</t>
        </is>
      </c>
      <c r="D17" s="23" t="inlineStr">
        <is>
          <t>14.98</t>
        </is>
      </c>
      <c r="E17" s="23" t="n">
        <v>188.24</v>
      </c>
      <c r="F17" s="23" t="inlineStr">
        <is>
          <t>STM38021</t>
        </is>
      </c>
    </row>
    <row r="18">
      <c r="A18" s="23" t="inlineStr">
        <is>
          <t>P5</t>
        </is>
      </c>
      <c r="B18" s="23" t="inlineStr">
        <is>
          <t>610.70</t>
        </is>
      </c>
      <c r="C18" s="23" t="inlineStr">
        <is>
          <t>595.46</t>
        </is>
      </c>
      <c r="D18" s="23" t="inlineStr">
        <is>
          <t>15.24</t>
        </is>
      </c>
      <c r="E18" s="23" t="n">
        <v>191.51</v>
      </c>
      <c r="F18" s="23" t="inlineStr">
        <is>
          <t>STM38021</t>
        </is>
      </c>
    </row>
    <row r="19">
      <c r="A19" s="23" t="inlineStr">
        <is>
          <t>P6</t>
        </is>
      </c>
      <c r="B19" s="23" t="inlineStr">
        <is>
          <t>607.39</t>
        </is>
      </c>
      <c r="C19" s="23" t="inlineStr">
        <is>
          <t>591.88</t>
        </is>
      </c>
      <c r="D19" s="23" t="inlineStr">
        <is>
          <t>15.51</t>
        </is>
      </c>
      <c r="E19" s="23" t="n">
        <v>194.9</v>
      </c>
      <c r="F19" s="23" t="inlineStr">
        <is>
          <t>STM38022</t>
        </is>
      </c>
    </row>
    <row r="20">
      <c r="A20" s="23" t="inlineStr">
        <is>
          <t>P7</t>
        </is>
      </c>
      <c r="B20" s="23" t="inlineStr">
        <is>
          <t>603.15</t>
        </is>
      </c>
      <c r="C20" s="23" t="inlineStr">
        <is>
          <t>587.53</t>
        </is>
      </c>
      <c r="D20" s="23" t="inlineStr">
        <is>
          <t>15.62</t>
        </is>
      </c>
      <c r="E20" s="23" t="n">
        <v>196.29</v>
      </c>
      <c r="F20" s="23" t="inlineStr">
        <is>
          <t>STM38022</t>
        </is>
      </c>
    </row>
    <row r="21">
      <c r="A21" s="23" t="inlineStr">
        <is>
          <t>P8</t>
        </is>
      </c>
      <c r="B21" s="23" t="inlineStr">
        <is>
          <t>599.00</t>
        </is>
      </c>
      <c r="C21" s="23" t="inlineStr">
        <is>
          <t>584.59</t>
        </is>
      </c>
      <c r="D21" s="23" t="inlineStr">
        <is>
          <t>14.41</t>
        </is>
      </c>
      <c r="E21" s="23" t="n">
        <v>181.08</v>
      </c>
      <c r="F21" s="23" t="inlineStr">
        <is>
          <t>STM38023</t>
        </is>
      </c>
    </row>
    <row r="22">
      <c r="A22" s="23" t="inlineStr">
        <is>
          <t>P9</t>
        </is>
      </c>
      <c r="B22" s="23" t="inlineStr">
        <is>
          <t>591.18</t>
        </is>
      </c>
      <c r="C22" s="23" t="inlineStr">
        <is>
          <t>582.12</t>
        </is>
      </c>
      <c r="D22" s="23" t="inlineStr">
        <is>
          <t>9.06</t>
        </is>
      </c>
      <c r="E22" s="23" t="n">
        <v>113.85</v>
      </c>
      <c r="F22" s="23" t="inlineStr">
        <is>
          <t>STM38023</t>
        </is>
      </c>
    </row>
    <row r="23">
      <c r="A23" s="22" t="inlineStr">
        <is>
          <t>⚠ Discrepancia P9: STM38109 §2.4 reporta 9.67m (referencia portal vs NV terreno). Diferencia 0.61m × 12.57m² = ~7.7 m³ excavación adicional si se usa cota portal.</t>
        </is>
      </c>
    </row>
    <row r="25">
      <c r="A25" s="12" t="inlineStr">
        <is>
          <t>3. LONGITUDES DE TRAMOS — DM piques sucesivos</t>
        </is>
      </c>
    </row>
    <row r="26">
      <c r="A26" s="7" t="inlineStr">
        <is>
          <t>Tramo</t>
        </is>
      </c>
      <c r="B26" s="7" t="inlineStr">
        <is>
          <t>Entre piques</t>
        </is>
      </c>
      <c r="C26" s="7" t="inlineStr">
        <is>
          <t>DM inicio (m)</t>
        </is>
      </c>
      <c r="D26" s="7" t="inlineStr">
        <is>
          <t>DM fin (m)</t>
        </is>
      </c>
      <c r="E26" s="7" t="inlineStr">
        <is>
          <t>Longitud (m)</t>
        </is>
      </c>
      <c r="F26" s="7" t="inlineStr">
        <is>
          <t>Fuente plano</t>
        </is>
      </c>
    </row>
    <row r="27">
      <c r="A27" s="23" t="inlineStr">
        <is>
          <t>T1</t>
        </is>
      </c>
      <c r="B27" s="23" t="inlineStr">
        <is>
          <t>P1-P2</t>
        </is>
      </c>
      <c r="C27" s="23" t="inlineStr">
        <is>
          <t>0.0</t>
        </is>
      </c>
      <c r="D27" s="23" t="inlineStr">
        <is>
          <t>389.0</t>
        </is>
      </c>
      <c r="E27" s="23" t="inlineStr">
        <is>
          <t>389.0</t>
        </is>
      </c>
      <c r="F27" s="23" t="inlineStr">
        <is>
          <t>STM38020</t>
        </is>
      </c>
    </row>
    <row r="28">
      <c r="A28" s="23" t="inlineStr">
        <is>
          <t>T2</t>
        </is>
      </c>
      <c r="B28" s="23" t="inlineStr">
        <is>
          <t>P2-P3</t>
        </is>
      </c>
      <c r="C28" s="23" t="inlineStr">
        <is>
          <t>389.0</t>
        </is>
      </c>
      <c r="D28" s="23" t="inlineStr">
        <is>
          <t>560.6</t>
        </is>
      </c>
      <c r="E28" s="23" t="inlineStr">
        <is>
          <t>171.6</t>
        </is>
      </c>
      <c r="F28" s="23" t="inlineStr">
        <is>
          <t>STM38020</t>
        </is>
      </c>
    </row>
    <row r="29">
      <c r="A29" s="23" t="inlineStr">
        <is>
          <t>T3</t>
        </is>
      </c>
      <c r="B29" s="23" t="inlineStr">
        <is>
          <t>P3-P4</t>
        </is>
      </c>
      <c r="C29" s="23" t="inlineStr">
        <is>
          <t>560.6</t>
        </is>
      </c>
      <c r="D29" s="23" t="inlineStr">
        <is>
          <t>955.7</t>
        </is>
      </c>
      <c r="E29" s="23" t="inlineStr">
        <is>
          <t>395.1</t>
        </is>
      </c>
      <c r="F29" s="23" t="inlineStr">
        <is>
          <t>STM38020</t>
        </is>
      </c>
    </row>
    <row r="30">
      <c r="A30" s="23" t="inlineStr">
        <is>
          <t>T4</t>
        </is>
      </c>
      <c r="B30" s="23" t="inlineStr">
        <is>
          <t>P4-P5</t>
        </is>
      </c>
      <c r="C30" s="23" t="inlineStr">
        <is>
          <t>955.7</t>
        </is>
      </c>
      <c r="D30" s="23" t="inlineStr">
        <is>
          <t>1161.6</t>
        </is>
      </c>
      <c r="E30" s="23" t="inlineStr">
        <is>
          <t>205.9</t>
        </is>
      </c>
      <c r="F30" s="23" t="inlineStr">
        <is>
          <t>STM38021</t>
        </is>
      </c>
    </row>
    <row r="31">
      <c r="A31" s="23" t="inlineStr">
        <is>
          <t>T5</t>
        </is>
      </c>
      <c r="B31" s="23" t="inlineStr">
        <is>
          <t>P5-P6</t>
        </is>
      </c>
      <c r="C31" s="23" t="inlineStr">
        <is>
          <t>1161.6</t>
        </is>
      </c>
      <c r="D31" s="23" t="inlineStr">
        <is>
          <t>1459.4</t>
        </is>
      </c>
      <c r="E31" s="23" t="inlineStr">
        <is>
          <t>297.8</t>
        </is>
      </c>
      <c r="F31" s="23" t="inlineStr">
        <is>
          <t>STM38021</t>
        </is>
      </c>
    </row>
    <row r="32">
      <c r="A32" s="23" t="inlineStr">
        <is>
          <t>T6</t>
        </is>
      </c>
      <c r="B32" s="23" t="inlineStr">
        <is>
          <t>P6-P7</t>
        </is>
      </c>
      <c r="C32" s="23" t="inlineStr">
        <is>
          <t>1459.4</t>
        </is>
      </c>
      <c r="D32" s="23" t="inlineStr">
        <is>
          <t>1777.4</t>
        </is>
      </c>
      <c r="E32" s="23" t="inlineStr">
        <is>
          <t>318.0</t>
        </is>
      </c>
      <c r="F32" s="23" t="inlineStr">
        <is>
          <t>STM38022</t>
        </is>
      </c>
    </row>
    <row r="33">
      <c r="A33" s="23" t="inlineStr">
        <is>
          <t>T7</t>
        </is>
      </c>
      <c r="B33" s="23" t="inlineStr">
        <is>
          <t>P7-P8</t>
        </is>
      </c>
      <c r="C33" s="23" t="inlineStr">
        <is>
          <t>1777.4</t>
        </is>
      </c>
      <c r="D33" s="23" t="inlineStr">
        <is>
          <t>2145.1</t>
        </is>
      </c>
      <c r="E33" s="23" t="inlineStr">
        <is>
          <t>367.7</t>
        </is>
      </c>
      <c r="F33" s="23" t="inlineStr">
        <is>
          <t>STM38022</t>
        </is>
      </c>
    </row>
    <row r="34">
      <c r="A34" s="23" t="inlineStr">
        <is>
          <t>T8</t>
        </is>
      </c>
      <c r="B34" s="23" t="inlineStr">
        <is>
          <t>P8-P9</t>
        </is>
      </c>
      <c r="C34" s="23" t="inlineStr">
        <is>
          <t>2145.1</t>
        </is>
      </c>
      <c r="D34" s="23" t="inlineStr">
        <is>
          <t>2454.2</t>
        </is>
      </c>
      <c r="E34" s="23" t="inlineStr">
        <is>
          <t>309.1</t>
        </is>
      </c>
      <c r="F34" s="23" t="inlineStr">
        <is>
          <t>STM38023</t>
        </is>
      </c>
    </row>
    <row r="36">
      <c r="A36" s="12" t="inlineStr">
        <is>
          <t>4. FÓRMULAS POR PARTIDA</t>
        </is>
      </c>
    </row>
    <row r="37">
      <c r="A37" s="7" t="inlineStr">
        <is>
          <t>#</t>
        </is>
      </c>
      <c r="B37" s="7" t="inlineStr">
        <is>
          <t>Partida</t>
        </is>
      </c>
      <c r="C37" s="7" t="inlineStr">
        <is>
          <t>Fórmula aplicada</t>
        </is>
      </c>
      <c r="D37" s="7" t="inlineStr">
        <is>
          <t>Cantidad total</t>
        </is>
      </c>
      <c r="E37" s="7" t="inlineStr">
        <is>
          <t>Unidad</t>
        </is>
      </c>
      <c r="F37" s="7" t="inlineStr">
        <is>
          <t>Validación</t>
        </is>
      </c>
    </row>
    <row r="38">
      <c r="A38" s="15" t="inlineStr">
        <is>
          <t>4.1</t>
        </is>
      </c>
      <c r="B38" s="15" t="inlineStr">
        <is>
          <t>Excavación piques</t>
        </is>
      </c>
      <c r="C38" s="15" t="inlineStr">
        <is>
          <t>Σ (12.5664 m² × prof_i) para i=1..9</t>
        </is>
      </c>
      <c r="D38" s="15" t="n">
        <v>1770.34</v>
      </c>
      <c r="E38" s="15" t="inlineStr">
        <is>
          <t>m³</t>
        </is>
      </c>
      <c r="F38" s="15" t="inlineStr">
        <is>
          <t>✓ Coincide con suma manual</t>
        </is>
      </c>
    </row>
    <row r="39">
      <c r="A39" s="15" t="inlineStr">
        <is>
          <t>4.2</t>
        </is>
      </c>
      <c r="B39" s="15" t="inlineStr">
        <is>
          <t>Retiro excavación piques</t>
        </is>
      </c>
      <c r="C39" s="15">
        <f> Excavación pique (igual volumen al botadero)</f>
        <v/>
      </c>
      <c r="D39" s="15" t="n">
        <v>1770.34</v>
      </c>
      <c r="E39" s="15" t="inlineStr">
        <is>
          <t>m³</t>
        </is>
      </c>
      <c r="F39" s="15" t="inlineStr">
        <is>
          <t>✓ = Excavación</t>
        </is>
      </c>
    </row>
    <row r="40">
      <c r="A40" s="15" t="inlineStr">
        <is>
          <t>4.3</t>
        </is>
      </c>
      <c r="B40" s="15" t="inlineStr">
        <is>
          <t>Montaje liner pique</t>
        </is>
      </c>
      <c r="C40" s="15" t="inlineStr">
        <is>
          <t>Σ profundidad_i para i=1..9</t>
        </is>
      </c>
      <c r="D40" s="15" t="n">
        <v>140.9</v>
      </c>
      <c r="E40" s="15" t="inlineStr">
        <is>
          <t>m</t>
        </is>
      </c>
      <c r="F40" s="15">
        <f> longitud anillo × cantidad anillos</f>
        <v/>
      </c>
    </row>
    <row r="41">
      <c r="A41" s="15" t="inlineStr">
        <is>
          <t>4.4</t>
        </is>
      </c>
      <c r="B41" s="15" t="inlineStr">
        <is>
          <t>Montaje escalas+plataformas</t>
        </is>
      </c>
      <c r="C41" s="15" t="inlineStr">
        <is>
          <t>1 gl × 9 piques (Aporte STM)</t>
        </is>
      </c>
      <c r="D41" s="15" t="n">
        <v>9</v>
      </c>
      <c r="E41" s="15" t="inlineStr">
        <is>
          <t>gl</t>
        </is>
      </c>
      <c r="F41" s="15" t="inlineStr">
        <is>
          <t>✓ Una unidad global por pique</t>
        </is>
      </c>
    </row>
    <row r="42">
      <c r="A42" s="15" t="inlineStr">
        <is>
          <t>4.5</t>
        </is>
      </c>
      <c r="B42" s="15" t="inlineStr">
        <is>
          <t>Brocal definitivo</t>
        </is>
      </c>
      <c r="C42" s="15" t="inlineStr">
        <is>
          <t>1 gl × 9 piques</t>
        </is>
      </c>
      <c r="D42" s="15" t="n">
        <v>9</v>
      </c>
      <c r="E42" s="15" t="inlineStr">
        <is>
          <t>gl</t>
        </is>
      </c>
      <c r="F42" s="15" t="inlineStr">
        <is>
          <t>P1/P9 → ítem .15; P2-8 → ítem .14</t>
        </is>
      </c>
    </row>
    <row r="43">
      <c r="A43" s="15" t="inlineStr">
        <is>
          <t>4.6</t>
        </is>
      </c>
      <c r="B43" s="15" t="inlineStr">
        <is>
          <t>Montaje estructura cables (SS)</t>
        </is>
      </c>
      <c r="C43" s="15" t="inlineStr">
        <is>
          <t>1 gl × 2 piques SS (P1 y P9)</t>
        </is>
      </c>
      <c r="D43" s="15" t="n">
        <v>2</v>
      </c>
      <c r="E43" s="15" t="inlineStr">
        <is>
          <t>gl</t>
        </is>
      </c>
      <c r="F43" s="15" t="inlineStr">
        <is>
          <t>Solo SS Vitacura + SS Providencia</t>
        </is>
      </c>
    </row>
    <row r="44">
      <c r="A44" s="15" t="inlineStr">
        <is>
          <t>5.1</t>
        </is>
      </c>
      <c r="B44" s="15" t="inlineStr">
        <is>
          <t>Excavación túnel</t>
        </is>
      </c>
      <c r="C44" s="15" t="inlineStr">
        <is>
          <t>Σ (3.8359 m² × longitud_i) para i=1..8</t>
        </is>
      </c>
      <c r="D44" s="15" t="n">
        <v>9414.219999999999</v>
      </c>
      <c r="E44" s="15" t="inlineStr">
        <is>
          <t>m³</t>
        </is>
      </c>
      <c r="F44" s="15" t="inlineStr">
        <is>
          <t>Verifica: 3.8359 × 2454.2 = 9414.2 ✓</t>
        </is>
      </c>
    </row>
    <row r="45">
      <c r="A45" s="15" t="inlineStr">
        <is>
          <t>5.2</t>
        </is>
      </c>
      <c r="B45" s="15" t="inlineStr">
        <is>
          <t>Radier túnel H30</t>
        </is>
      </c>
      <c r="C45" s="15" t="inlineStr">
        <is>
          <t>Σ (0.3315 m³/m × longitud_i) para i=1..8</t>
        </is>
      </c>
      <c r="D45" s="15" t="n">
        <v>813.58</v>
      </c>
      <c r="E45" s="15" t="inlineStr">
        <is>
          <t>m³</t>
        </is>
      </c>
      <c r="F45" s="15" t="inlineStr">
        <is>
          <t>Verifica: 0.3315 × 2454.2 = 813.6 ✓</t>
        </is>
      </c>
    </row>
    <row r="46">
      <c r="A46" s="15" t="inlineStr">
        <is>
          <t>5.3</t>
        </is>
      </c>
      <c r="B46" s="15" t="inlineStr">
        <is>
          <t>Instalación cables</t>
        </is>
      </c>
      <c r="C46" s="15" t="inlineStr">
        <is>
          <t>Σ (6 cables × longitud_i) para i=1..8</t>
        </is>
      </c>
      <c r="D46" s="15" t="n">
        <v>14725.2</v>
      </c>
      <c r="E46" s="15" t="inlineStr">
        <is>
          <t>ml</t>
        </is>
      </c>
      <c r="F46" s="15" t="inlineStr">
        <is>
          <t>⚠ Asumido: LAT 2×110kV = 2 circuitos × 3 fases</t>
        </is>
      </c>
    </row>
    <row r="48">
      <c r="A48" s="12" t="inlineStr">
        <is>
          <t>5. EQUIPAMIENTO ELÉCTRICO (Aporte STM — Sección 2 licitación)</t>
        </is>
      </c>
    </row>
    <row r="49">
      <c r="A49" s="7" t="inlineStr">
        <is>
          <t>#</t>
        </is>
      </c>
      <c r="B49" s="7" t="inlineStr">
        <is>
          <t>Equipo</t>
        </is>
      </c>
      <c r="C49" s="7" t="inlineStr">
        <is>
          <t>Cantidad</t>
        </is>
      </c>
      <c r="D49" s="7" t="inlineStr">
        <is>
          <t>Modelo / specs</t>
        </is>
      </c>
      <c r="E49" s="7" t="inlineStr">
        <is>
          <t>Ubicación</t>
        </is>
      </c>
      <c r="F49" s="7" t="inlineStr">
        <is>
          <t>Fuente</t>
        </is>
      </c>
    </row>
    <row r="50">
      <c r="A50" s="23" t="inlineStr">
        <is>
          <t>5.1</t>
        </is>
      </c>
      <c r="B50" s="23" t="inlineStr">
        <is>
          <t>Jet Fan túnel</t>
        </is>
      </c>
      <c r="C50" s="23" t="inlineStr">
        <is>
          <t>23</t>
        </is>
      </c>
      <c r="D50" s="23" t="inlineStr">
        <is>
          <t>S&amp;P TJHT2/4-315-CN (0.8 kW, 24 N, 4500 m³/h)</t>
        </is>
      </c>
      <c r="E50" s="23" t="inlineStr">
        <is>
          <t>Fan1 DM+70 → Fan23 DM+2380, cada 105 m</t>
        </is>
      </c>
      <c r="F50" s="23" t="inlineStr">
        <is>
          <t>STM38109 §4.5 + Tabla 4.2 (REV.E 28-01-2026)</t>
        </is>
      </c>
    </row>
    <row r="51">
      <c r="A51" s="23" t="inlineStr">
        <is>
          <t>5.2</t>
        </is>
      </c>
      <c r="B51" s="23" t="inlineStr">
        <is>
          <t>Extractor pique</t>
        </is>
      </c>
      <c r="C51" s="23" t="inlineStr">
        <is>
          <t>2</t>
        </is>
      </c>
      <c r="D51" s="23" t="inlineStr">
        <is>
          <t>Soler-Palau TGT/6-1409 (37 kW, 132000 m³/h, Ø1409 mm)</t>
        </is>
      </c>
      <c r="E51" s="23" t="inlineStr">
        <is>
          <t>bocas P1 (SS Vitacura) y P9 (SS Providencia)</t>
        </is>
      </c>
      <c r="F51" s="23" t="inlineStr">
        <is>
          <t>STM38110 §3.1 + §3.14</t>
        </is>
      </c>
    </row>
    <row r="53">
      <c r="A53" s="12" t="inlineStr">
        <is>
          <t>6. SUPUESTOS CRÍTICOS Y VALIDACIONES PENDIENTES</t>
        </is>
      </c>
    </row>
    <row r="54">
      <c r="A54" s="7" t="inlineStr">
        <is>
          <t>#</t>
        </is>
      </c>
      <c r="B54" s="7" t="inlineStr">
        <is>
          <t>Supuesto</t>
        </is>
      </c>
      <c r="C54" s="7" t="inlineStr">
        <is>
          <t>Valor usado</t>
        </is>
      </c>
      <c r="D54" s="7" t="inlineStr">
        <is>
          <t>Origen</t>
        </is>
      </c>
      <c r="E54" s="7" t="inlineStr">
        <is>
          <t>Impacto si cambia</t>
        </is>
      </c>
      <c r="F54" s="7" t="inlineStr">
        <is>
          <t>Estado</t>
        </is>
      </c>
    </row>
    <row r="55">
      <c r="A55" s="15" t="inlineStr">
        <is>
          <t>6.1</t>
        </is>
      </c>
      <c r="B55" s="15" t="inlineStr">
        <is>
          <t>N° túneles paralelos</t>
        </is>
      </c>
      <c r="C55" s="15" t="inlineStr">
        <is>
          <t>1</t>
        </is>
      </c>
      <c r="D55" s="15" t="inlineStr">
        <is>
          <t>Diseño STM</t>
        </is>
      </c>
      <c r="E55" s="15" t="inlineStr">
        <is>
          <t>Multiplicar Sec 5 por N</t>
        </is>
      </c>
      <c r="F55" s="15" t="inlineStr">
        <is>
          <t>✓ Confirmado 1</t>
        </is>
      </c>
    </row>
    <row r="56">
      <c r="A56" s="15" t="inlineStr">
        <is>
          <t>6.2</t>
        </is>
      </c>
      <c r="B56" s="15" t="inlineStr">
        <is>
          <t>N° cables LAT por tramo</t>
        </is>
      </c>
      <c r="C56" s="15" t="inlineStr">
        <is>
          <t>6 (2×3 fases)</t>
        </is>
      </c>
      <c r="D56" s="15" t="inlineStr">
        <is>
          <t>Estándar LAT 2×110kV</t>
        </is>
      </c>
      <c r="E56" s="15" t="inlineStr">
        <is>
          <t>Ajustar 5.x.8 proporcional</t>
        </is>
      </c>
      <c r="F56" s="15" t="inlineStr">
        <is>
          <t>⚠ Confirmar plano eléctrico</t>
        </is>
      </c>
    </row>
    <row r="57">
      <c r="A57" s="15" t="inlineStr">
        <is>
          <t>6.3</t>
        </is>
      </c>
      <c r="B57" s="15" t="inlineStr">
        <is>
          <t>Profundidad P9</t>
        </is>
      </c>
      <c r="C57" s="15" t="inlineStr">
        <is>
          <t>9.06 m (NV)</t>
        </is>
      </c>
      <c r="D57" s="15" t="inlineStr">
        <is>
          <t>STM38023 vs STM38109 (9.67m)</t>
        </is>
      </c>
      <c r="E57" s="15" t="inlineStr">
        <is>
          <t>Δ excav P9 = 7.7 m³</t>
        </is>
      </c>
      <c r="F57" s="15" t="inlineStr">
        <is>
          <t>⚠ Discrepancia 0.61m</t>
        </is>
      </c>
    </row>
    <row r="58">
      <c r="A58" s="15" t="inlineStr">
        <is>
          <t>6.4</t>
        </is>
      </c>
      <c r="B58" s="15" t="inlineStr">
        <is>
          <t>Diámetro liner interior</t>
        </is>
      </c>
      <c r="C58" s="15" t="inlineStr">
        <is>
          <t>2.21 m</t>
        </is>
      </c>
      <c r="D58" s="15" t="inlineStr">
        <is>
          <t>STM38136 vs STM38109 (2.10m)</t>
        </is>
      </c>
      <c r="E58" s="15" t="inlineStr">
        <is>
          <t>Δ sección = 0.38 m² (10%)</t>
        </is>
      </c>
      <c r="F58" s="15" t="inlineStr">
        <is>
          <t>✓ 2.21m incluye espesor anillos</t>
        </is>
      </c>
    </row>
    <row r="59">
      <c r="A59" s="15" t="inlineStr">
        <is>
          <t>6.5</t>
        </is>
      </c>
      <c r="B59" s="15" t="inlineStr">
        <is>
          <t>Longitud túnel total</t>
        </is>
      </c>
      <c r="C59" s="15" t="inlineStr">
        <is>
          <t>2454.2 m</t>
        </is>
      </c>
      <c r="D59" s="15" t="inlineStr">
        <is>
          <t>STM38020-23 suma DM</t>
        </is>
      </c>
      <c r="E59" s="15" t="inlineStr">
        <is>
          <t>STM38109 redondea a 2450m</t>
        </is>
      </c>
      <c r="F59" s="15" t="inlineStr">
        <is>
          <t>✓ Diferencia 4.2m (0.17%)</t>
        </is>
      </c>
    </row>
    <row r="60">
      <c r="A60" s="15" t="inlineStr">
        <is>
          <t>6.6</t>
        </is>
      </c>
      <c r="B60" s="15" t="inlineStr">
        <is>
          <t>Cantidades 4.x.10-12 (shotcrete/malla/pernos)</t>
        </is>
      </c>
      <c r="C60" s="15" t="inlineStr">
        <is>
          <t>No cubicado</t>
        </is>
      </c>
      <c r="D60" s="15" t="inlineStr">
        <is>
          <t>Requiere RMR/Q rock mass</t>
        </is>
      </c>
      <c r="E60" s="15" t="inlineStr">
        <is>
          <t>Eventual según geotecnia</t>
        </is>
      </c>
      <c r="F60" s="15" t="inlineStr">
        <is>
          <t>⚠ Pendiente STM38019 RMR</t>
        </is>
      </c>
    </row>
    <row r="61">
      <c r="A61" s="15" t="inlineStr">
        <is>
          <t>6.7</t>
        </is>
      </c>
      <c r="B61" s="15" t="inlineStr">
        <is>
          <t>UF referencial</t>
        </is>
      </c>
      <c r="C61" s="15" t="inlineStr">
        <is>
          <t>38.500 CLP</t>
        </is>
      </c>
      <c r="D61" s="15" t="inlineStr">
        <is>
          <t>Mayo 2026</t>
        </is>
      </c>
      <c r="E61" s="15" t="inlineStr">
        <is>
          <t>Actualizar al mes oferta</t>
        </is>
      </c>
      <c r="F61" s="15" t="inlineStr">
        <is>
          <t>✓ Configurable</t>
        </is>
      </c>
    </row>
    <row r="62">
      <c r="A62" s="15" t="inlineStr">
        <is>
          <t>6.8</t>
        </is>
      </c>
      <c r="B62" s="15" t="inlineStr">
        <is>
          <t>Altura excavación = profundidad NV</t>
        </is>
      </c>
      <c r="C62" s="15" t="inlineStr">
        <is>
          <t>Sí</t>
        </is>
      </c>
      <c r="D62" s="15" t="inlineStr">
        <is>
          <t>Convención técnica</t>
        </is>
      </c>
      <c r="E62" s="15" t="inlineStr">
        <is>
          <t>Si sump existe → +volumen</t>
        </is>
      </c>
      <c r="F62" s="15" t="inlineStr">
        <is>
          <t>⚠ STM38023 nota 'Nivel -3.50' en P9</t>
        </is>
      </c>
    </row>
    <row r="64">
      <c r="A64" s="12" t="inlineStr">
        <is>
          <t>7. TRAZABILIDAD DE FUENTES (documentos consultados)</t>
        </is>
      </c>
    </row>
    <row r="65">
      <c r="A65" s="7" t="inlineStr">
        <is>
          <t>#</t>
        </is>
      </c>
      <c r="B65" s="7" t="inlineStr">
        <is>
          <t>Documento</t>
        </is>
      </c>
      <c r="C65" s="7" t="inlineStr">
        <is>
          <t>Revisión</t>
        </is>
      </c>
      <c r="D65" s="7" t="inlineStr">
        <is>
          <t>Datos extraídos</t>
        </is>
      </c>
      <c r="E65" s="7" t="inlineStr">
        <is>
          <t>Hoja relevante</t>
        </is>
      </c>
      <c r="F65" s="7" t="inlineStr">
        <is>
          <t>—</t>
        </is>
      </c>
    </row>
    <row r="66">
      <c r="A66" s="15" t="inlineStr">
        <is>
          <t>7.1</t>
        </is>
      </c>
      <c r="B66" s="15" t="inlineStr">
        <is>
          <t>STM38020 Planta y Perfil</t>
        </is>
      </c>
      <c r="C66" s="15" t="inlineStr">
        <is>
          <t>REV.0</t>
        </is>
      </c>
      <c r="D66" s="15" t="inlineStr">
        <is>
          <t>P1, P2, P3 NV + DM tramos T1-T3</t>
        </is>
      </c>
      <c r="E66" s="15" t="inlineStr">
        <is>
          <t>Detalle Costo Directo</t>
        </is>
      </c>
      <c r="F66" s="15" t="inlineStr"/>
    </row>
    <row r="67">
      <c r="A67" s="15" t="inlineStr">
        <is>
          <t>7.2</t>
        </is>
      </c>
      <c r="B67" s="15" t="inlineStr">
        <is>
          <t>STM38021 Planta y Perfil</t>
        </is>
      </c>
      <c r="C67" s="15" t="inlineStr">
        <is>
          <t>REV.0</t>
        </is>
      </c>
      <c r="D67" s="15" t="inlineStr">
        <is>
          <t>P4, P5 NV + DM tramos T3-T5</t>
        </is>
      </c>
      <c r="E67" s="15" t="inlineStr">
        <is>
          <t>Detalle Costo Directo</t>
        </is>
      </c>
      <c r="F67" s="15" t="inlineStr"/>
    </row>
    <row r="68">
      <c r="A68" s="15" t="inlineStr">
        <is>
          <t>7.3</t>
        </is>
      </c>
      <c r="B68" s="15" t="inlineStr">
        <is>
          <t>STM38022 Planta y Perfil</t>
        </is>
      </c>
      <c r="C68" s="15" t="inlineStr">
        <is>
          <t>REV.0</t>
        </is>
      </c>
      <c r="D68" s="15" t="inlineStr">
        <is>
          <t>P6, P7 NV + DM tramos T5-T7</t>
        </is>
      </c>
      <c r="E68" s="15" t="inlineStr">
        <is>
          <t>Detalle Costo Directo</t>
        </is>
      </c>
      <c r="F68" s="15" t="inlineStr"/>
    </row>
    <row r="69">
      <c r="A69" s="15" t="inlineStr">
        <is>
          <t>7.4</t>
        </is>
      </c>
      <c r="B69" s="15" t="inlineStr">
        <is>
          <t>STM38023 Planta y Perfil</t>
        </is>
      </c>
      <c r="C69" s="15" t="inlineStr">
        <is>
          <t>REV.0</t>
        </is>
      </c>
      <c r="D69" s="15" t="inlineStr">
        <is>
          <t>P8, P9 NV + DM tramos T7-T8</t>
        </is>
      </c>
      <c r="E69" s="15" t="inlineStr">
        <is>
          <t>Detalle Costo Directo</t>
        </is>
      </c>
      <c r="F69" s="15" t="inlineStr"/>
    </row>
    <row r="70">
      <c r="A70" s="15" t="inlineStr">
        <is>
          <t>7.5</t>
        </is>
      </c>
      <c r="B70" s="15" t="inlineStr">
        <is>
          <t>STM38109 Memoria Ventilación</t>
        </is>
      </c>
      <c r="C70" s="15" t="inlineStr">
        <is>
          <t>REV.E 28-01-2026</t>
        </is>
      </c>
      <c r="D70" s="15" t="inlineStr">
        <is>
          <t>23 jet fans S&amp;P TJHT2/4-315-CN, ubicación Tabla 4.2</t>
        </is>
      </c>
      <c r="E70" s="15" t="inlineStr">
        <is>
          <t>Sec 5 supuestos</t>
        </is>
      </c>
      <c r="F70" s="15" t="inlineStr"/>
    </row>
    <row r="71">
      <c r="A71" s="15" t="inlineStr">
        <is>
          <t>7.6</t>
        </is>
      </c>
      <c r="B71" s="15" t="inlineStr">
        <is>
          <t>STM38110 ETP Equipos Ventilación</t>
        </is>
      </c>
      <c r="C71" s="15" t="inlineStr">
        <is>
          <t>REV.0 14-11-2025</t>
        </is>
      </c>
      <c r="D71" s="15" t="inlineStr">
        <is>
          <t>2 extractores Soler-Palau TGT/6-1409, modelo jet fan</t>
        </is>
      </c>
      <c r="E71" s="15" t="inlineStr">
        <is>
          <t>Sec 5 supuestos</t>
        </is>
      </c>
      <c r="F71" s="15" t="inlineStr"/>
    </row>
    <row r="72">
      <c r="A72" s="15" t="inlineStr">
        <is>
          <t>7.7</t>
        </is>
      </c>
      <c r="B72" s="15" t="inlineStr">
        <is>
          <t>STM38019 Geotécnica</t>
        </is>
      </c>
      <c r="C72" s="15" t="inlineStr">
        <is>
          <t>—</t>
        </is>
      </c>
      <c r="D72" s="15" t="inlineStr">
        <is>
          <t>Estratigrafía H1-H3 (Relleno/Grava 2°/Grava 1°)</t>
        </is>
      </c>
      <c r="E72" s="15" t="inlineStr">
        <is>
          <t>Pendiente RMR para 4.x.10-12</t>
        </is>
      </c>
      <c r="F72" s="15" t="inlineStr"/>
    </row>
    <row r="73">
      <c r="A73" s="15" t="inlineStr">
        <is>
          <t>7.8</t>
        </is>
      </c>
      <c r="B73" s="15" t="inlineStr">
        <is>
          <t>STM38136 Planos eléctricos</t>
        </is>
      </c>
      <c r="C73" s="15" t="inlineStr">
        <is>
          <t>REV.1 06/04/2026</t>
        </is>
      </c>
      <c r="D73" s="15" t="inlineStr">
        <is>
          <t>Ø interior pique 4.0m, Ø interior liner 2.21m</t>
        </is>
      </c>
      <c r="E73" s="15" t="inlineStr">
        <is>
          <t>Sec 1 constantes</t>
        </is>
      </c>
      <c r="F73" s="15" t="inlineStr"/>
    </row>
    <row r="74">
      <c r="A74" s="15" t="inlineStr">
        <is>
          <t>7.9</t>
        </is>
      </c>
      <c r="B74" s="15" t="inlineStr">
        <is>
          <t>BAE Licitación 2025-25-TX-SS-RM</t>
        </is>
      </c>
      <c r="C74" s="15" t="inlineStr">
        <is>
          <t>REV.0 13/04/2026</t>
        </is>
      </c>
      <c r="D74" s="15" t="inlineStr">
        <is>
          <t>Estructura items 4.x y 5.x</t>
        </is>
      </c>
      <c r="E74" s="15" t="inlineStr">
        <is>
          <t>A) Detalle</t>
        </is>
      </c>
      <c r="F74" s="15" t="inlineStr"/>
    </row>
    <row r="75">
      <c r="A75" s="15" t="inlineStr">
        <is>
          <t>7.10</t>
        </is>
      </c>
      <c r="B75" s="15" t="inlineStr">
        <is>
          <t>IF SS Vitacura</t>
        </is>
      </c>
      <c r="C75" s="15" t="inlineStr">
        <is>
          <t>20251009 (3 etapas)</t>
        </is>
      </c>
      <c r="D75" s="15" t="inlineStr">
        <is>
          <t>Composición Instalación de Faenas</t>
        </is>
      </c>
      <c r="E75" s="15" t="inlineStr">
        <is>
          <t>Sec 3 supuestos suma alzada</t>
        </is>
      </c>
      <c r="F75" s="15" t="inlineStr"/>
    </row>
    <row r="77">
      <c r="A77" s="12" t="inlineStr">
        <is>
          <t>8. RESUMEN TOTALES CUBICADOS</t>
        </is>
      </c>
    </row>
    <row r="78">
      <c r="A78" s="7" t="inlineStr">
        <is>
          <t>#</t>
        </is>
      </c>
      <c r="B78" s="7" t="inlineStr">
        <is>
          <t>Concepto</t>
        </is>
      </c>
      <c r="C78" s="7" t="inlineStr">
        <is>
          <t>Cantidad</t>
        </is>
      </c>
      <c r="D78" s="7" t="inlineStr">
        <is>
          <t>Unidad</t>
        </is>
      </c>
      <c r="E78" s="7" t="inlineStr">
        <is>
          <t>—</t>
        </is>
      </c>
      <c r="F78" s="7" t="inlineStr">
        <is>
          <t>—</t>
        </is>
      </c>
    </row>
    <row r="79">
      <c r="A79" s="23" t="inlineStr">
        <is>
          <t>8.1</t>
        </is>
      </c>
      <c r="B79" s="23" t="inlineStr">
        <is>
          <t>Excavación piques (suma)</t>
        </is>
      </c>
      <c r="C79" s="23" t="n">
        <v>1770.34</v>
      </c>
      <c r="D79" s="23" t="inlineStr">
        <is>
          <t>m³</t>
        </is>
      </c>
      <c r="E79" s="23" t="inlineStr"/>
      <c r="F79" s="23" t="inlineStr"/>
    </row>
    <row r="80">
      <c r="A80" s="23" t="inlineStr">
        <is>
          <t>8.2</t>
        </is>
      </c>
      <c r="B80" s="23" t="inlineStr">
        <is>
          <t>Excavación túnel (suma)</t>
        </is>
      </c>
      <c r="C80" s="23" t="n">
        <v>9414.219999999999</v>
      </c>
      <c r="D80" s="23" t="inlineStr">
        <is>
          <t>m³</t>
        </is>
      </c>
      <c r="E80" s="23" t="inlineStr"/>
      <c r="F80" s="23" t="inlineStr"/>
    </row>
    <row r="81">
      <c r="A81" s="23" t="inlineStr">
        <is>
          <t>8.3</t>
        </is>
      </c>
      <c r="B81" s="23" t="inlineStr">
        <is>
          <t>Liner pique (suma profundidades)</t>
        </is>
      </c>
      <c r="C81" s="23" t="n">
        <v>140.9</v>
      </c>
      <c r="D81" s="23" t="inlineStr">
        <is>
          <t>m</t>
        </is>
      </c>
      <c r="E81" s="23" t="inlineStr"/>
      <c r="F81" s="23" t="inlineStr"/>
    </row>
    <row r="82">
      <c r="A82" s="23" t="inlineStr">
        <is>
          <t>8.4</t>
        </is>
      </c>
      <c r="B82" s="23" t="inlineStr">
        <is>
          <t>Liner túnel (longitud total)</t>
        </is>
      </c>
      <c r="C82" s="23" t="n">
        <v>2454.2</v>
      </c>
      <c r="D82" s="23" t="inlineStr">
        <is>
          <t>m</t>
        </is>
      </c>
      <c r="E82" s="23" t="inlineStr"/>
      <c r="F82" s="23" t="inlineStr"/>
    </row>
    <row r="83">
      <c r="A83" s="23" t="inlineStr">
        <is>
          <t>8.5</t>
        </is>
      </c>
      <c r="B83" s="23" t="inlineStr">
        <is>
          <t>Radier H30</t>
        </is>
      </c>
      <c r="C83" s="23" t="n">
        <v>813.58</v>
      </c>
      <c r="D83" s="23" t="inlineStr">
        <is>
          <t>m³</t>
        </is>
      </c>
      <c r="E83" s="23" t="inlineStr"/>
      <c r="F83" s="23" t="inlineStr"/>
    </row>
    <row r="84">
      <c r="A84" s="23" t="inlineStr">
        <is>
          <t>8.6</t>
        </is>
      </c>
      <c r="B84" s="23" t="inlineStr">
        <is>
          <t>Cables instalados (6 × longitud)</t>
        </is>
      </c>
      <c r="C84" s="23" t="n">
        <v>14725.2</v>
      </c>
      <c r="D84" s="23" t="inlineStr">
        <is>
          <t>ml</t>
        </is>
      </c>
      <c r="E84" s="23" t="inlineStr"/>
      <c r="F84" s="23" t="inlineStr"/>
    </row>
    <row r="85">
      <c r="A85" s="23" t="inlineStr">
        <is>
          <t>8.7</t>
        </is>
      </c>
      <c r="B85" s="23" t="inlineStr">
        <is>
          <t>Estructura cables SS</t>
        </is>
      </c>
      <c r="C85" s="23" t="n">
        <v>2</v>
      </c>
      <c r="D85" s="23" t="inlineStr">
        <is>
          <t>gl</t>
        </is>
      </c>
      <c r="E85" s="23" t="inlineStr">
        <is>
          <t>(solo P1+P9)</t>
        </is>
      </c>
      <c r="F85" s="23" t="inlineStr"/>
    </row>
    <row r="86">
      <c r="A86" s="23" t="inlineStr">
        <is>
          <t>8.8</t>
        </is>
      </c>
      <c r="B86" s="23" t="inlineStr">
        <is>
          <t>Escalas+plataformas</t>
        </is>
      </c>
      <c r="C86" s="23" t="n">
        <v>9</v>
      </c>
      <c r="D86" s="23" t="inlineStr">
        <is>
          <t>gl</t>
        </is>
      </c>
      <c r="E86" s="23" t="inlineStr"/>
      <c r="F86" s="23" t="inlineStr"/>
    </row>
    <row r="87">
      <c r="A87" s="23" t="inlineStr">
        <is>
          <t>8.9</t>
        </is>
      </c>
      <c r="B87" s="23" t="inlineStr">
        <is>
          <t>Brocales definitivos</t>
        </is>
      </c>
      <c r="C87" s="23" t="n">
        <v>9</v>
      </c>
      <c r="D87" s="23" t="inlineStr">
        <is>
          <t>gl</t>
        </is>
      </c>
      <c r="E87" s="23" t="inlineStr"/>
      <c r="F87" s="23" t="inlineStr"/>
    </row>
  </sheetData>
  <mergeCells count="11">
    <mergeCell ref="A2:F2"/>
    <mergeCell ref="A36:F36"/>
    <mergeCell ref="A1:F1"/>
    <mergeCell ref="A23:F23"/>
    <mergeCell ref="A77:F77"/>
    <mergeCell ref="A12:F12"/>
    <mergeCell ref="A4:F4"/>
    <mergeCell ref="A48:F48"/>
    <mergeCell ref="A53:F53"/>
    <mergeCell ref="A64:F64"/>
    <mergeCell ref="A25:F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2026-05-19T22:56:33Z</dcterms:created>
  <dcterms:modified xsi:type="dcterms:W3CDTF">2026-05-19T22:56:33Z</dcterms:modified>
</cp:coreProperties>
</file>