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cintos" sheetId="2" state="visible" r:id="rId2"/>
    <sheet name="Cubicacion" sheetId="3" state="visible" r:id="rId3"/>
    <sheet name="Trazabilid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/>
    <font>
      <b val="1"/>
    </font>
    <font>
      <b val="1"/>
      <sz val="12"/>
    </font>
    <font>
      <i val="1"/>
    </font>
  </fonts>
  <fills count="5">
    <fill>
      <patternFill/>
    </fill>
    <fill>
      <patternFill patternType="gray125"/>
    </fill>
    <fill>
      <patternFill patternType="solid">
        <fgColor rgb="00FFE4B5"/>
      </patternFill>
    </fill>
    <fill>
      <patternFill patternType="solid">
        <fgColor rgb="00DDDDDD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12" customWidth="1" min="3" max="3"/>
    <col width="12" customWidth="1" min="4" max="4"/>
  </cols>
  <sheetData>
    <row r="1">
      <c r="A1" s="1" t="inlineStr">
        <is>
          <t>CUBICACION + PRESUPUESTO</t>
        </is>
      </c>
    </row>
    <row r="2"/>
    <row r="3">
      <c r="A3" s="2" t="inlineStr">
        <is>
          <t>Lamina:</t>
        </is>
      </c>
      <c r="B3" t="inlineStr">
        <is>
          <t>—</t>
        </is>
      </c>
    </row>
    <row r="4">
      <c r="A4" s="2" t="inlineStr">
        <is>
          <t>Tipo:</t>
        </is>
      </c>
      <c r="B4" t="inlineStr">
        <is>
          <t>—</t>
        </is>
      </c>
    </row>
    <row r="5">
      <c r="A5" s="2" t="inlineStr">
        <is>
          <t>Escala:</t>
        </is>
      </c>
      <c r="B5" t="inlineStr">
        <is>
          <t>—</t>
        </is>
      </c>
    </row>
    <row r="6">
      <c r="A6" s="2" t="inlineStr">
        <is>
          <t>Calidad plano:</t>
        </is>
      </c>
      <c r="B6" t="inlineStr">
        <is>
          <t>—</t>
        </is>
      </c>
    </row>
    <row r="7">
      <c r="A7" s="2" t="inlineStr">
        <is>
          <t>Generado:</t>
        </is>
      </c>
      <c r="B7" t="inlineStr">
        <is>
          <t>2026-05-18 16:01</t>
        </is>
      </c>
    </row>
    <row r="8">
      <c r="A8" s="2" t="inlineStr"/>
      <c r="B8" t="inlineStr"/>
    </row>
    <row r="9">
      <c r="A9" s="2" t="inlineStr">
        <is>
          <t>Area confiable (conf ≥ 0.70):</t>
        </is>
      </c>
      <c r="B9" t="inlineStr">
        <is>
          <t>25202.0 m²</t>
        </is>
      </c>
    </row>
    <row r="10">
      <c r="A10" s="2" t="inlineStr">
        <is>
          <t>Area incierta (0.50-0.69):</t>
        </is>
      </c>
      <c r="B10" t="inlineStr">
        <is>
          <t>0.0 m²</t>
        </is>
      </c>
    </row>
    <row r="11">
      <c r="A11" s="2" t="inlineStr">
        <is>
          <t>Area total:</t>
        </is>
      </c>
      <c r="B11" t="inlineStr">
        <is>
          <t>25202.0 m²</t>
        </is>
      </c>
    </row>
    <row r="12">
      <c r="A12" s="2" t="inlineStr"/>
      <c r="B12" t="inlineStr"/>
    </row>
    <row r="13">
      <c r="A13" s="2" t="inlineStr">
        <is>
          <t>Subtotal neto:</t>
        </is>
      </c>
      <c r="B13" t="inlineStr">
        <is>
          <t>$ 7.227.641.520</t>
        </is>
      </c>
    </row>
    <row r="14">
      <c r="A14" s="2" t="inlineStr">
        <is>
          <t>GG + Utilidad (25%):</t>
        </is>
      </c>
      <c r="B14" t="inlineStr">
        <is>
          <t>$ 1.806.910.380</t>
        </is>
      </c>
    </row>
    <row r="15">
      <c r="A15" s="2" t="inlineStr">
        <is>
          <t>Subtotal + GG&amp;U:</t>
        </is>
      </c>
      <c r="B15" t="inlineStr">
        <is>
          <t>$ 9.034.551.900</t>
        </is>
      </c>
    </row>
    <row r="16">
      <c r="A16" s="2" t="inlineStr">
        <is>
          <t>IVA (19%):</t>
        </is>
      </c>
      <c r="B16" t="inlineStr">
        <is>
          <t>$ 1.716.564.861</t>
        </is>
      </c>
    </row>
    <row r="17">
      <c r="A17" s="3" t="inlineStr">
        <is>
          <t>TOTAL CON IVA:</t>
        </is>
      </c>
      <c r="B17" s="4" t="inlineStr">
        <is>
          <t>$ 10.751.116.761 CLP</t>
        </is>
      </c>
    </row>
    <row r="18">
      <c r="A18" s="2" t="inlineStr">
        <is>
          <t>Costo por m²:</t>
        </is>
      </c>
      <c r="B18" t="inlineStr">
        <is>
          <t>$ 426.597 CLP/m²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2" customWidth="1" min="3" max="3"/>
    <col width="10" customWidth="1" min="4" max="4"/>
    <col width="10" customWidth="1" min="5" max="5"/>
    <col width="12" customWidth="1" min="6" max="6"/>
    <col width="6" customWidth="1" min="7" max="7"/>
  </cols>
  <sheetData>
    <row r="1">
      <c r="A1" s="5" t="inlineStr">
        <is>
          <t>Departamento</t>
        </is>
      </c>
      <c r="B1" s="5" t="inlineStr">
        <is>
          <t>Nombre</t>
        </is>
      </c>
      <c r="C1" s="5" t="inlineStr">
        <is>
          <t>Categoria</t>
        </is>
      </c>
      <c r="D1" s="5" t="inlineStr">
        <is>
          <t>Area m²</t>
        </is>
      </c>
      <c r="E1" s="5" t="inlineStr">
        <is>
          <t>Perim ml</t>
        </is>
      </c>
      <c r="F1" s="5" t="inlineStr">
        <is>
          <t>Confianza</t>
        </is>
      </c>
      <c r="G1" s="5" t="inlineStr">
        <is>
          <t>Flag</t>
        </is>
      </c>
    </row>
    <row r="2">
      <c r="A2" t="inlineStr">
        <is>
          <t>Anden</t>
        </is>
      </c>
      <c r="B2" t="inlineStr">
        <is>
          <t>ANDEN LATERAL NORTE</t>
        </is>
      </c>
      <c r="C2" t="inlineStr">
        <is>
          <t>—</t>
        </is>
      </c>
      <c r="D2" t="n">
        <v>576</v>
      </c>
      <c r="E2" t="n">
        <v>0</v>
      </c>
      <c r="F2" t="n">
        <v>0.95</v>
      </c>
      <c r="G2" t="inlineStr">
        <is>
          <t>✓</t>
        </is>
      </c>
    </row>
    <row r="3">
      <c r="A3" t="inlineStr">
        <is>
          <t>Anden</t>
        </is>
      </c>
      <c r="B3" t="inlineStr">
        <is>
          <t>ANDEN LATERAL SUR</t>
        </is>
      </c>
      <c r="C3" t="inlineStr">
        <is>
          <t>—</t>
        </is>
      </c>
      <c r="D3" t="n">
        <v>576</v>
      </c>
      <c r="E3" t="n">
        <v>0</v>
      </c>
      <c r="F3" t="n">
        <v>0.95</v>
      </c>
      <c r="G3" t="inlineStr">
        <is>
          <t>✓</t>
        </is>
      </c>
    </row>
    <row r="4">
      <c r="A4" s="3" t="inlineStr">
        <is>
          <t>Subtotal Anden</t>
        </is>
      </c>
      <c r="D4" s="3" t="n">
        <v>1152</v>
      </c>
    </row>
    <row r="5">
      <c r="A5" t="inlineStr">
        <is>
          <t>Estructura</t>
        </is>
      </c>
      <c r="B5" t="inlineStr">
        <is>
          <t>MURO PANTALLA NORTE</t>
        </is>
      </c>
      <c r="C5" t="inlineStr">
        <is>
          <t>—</t>
        </is>
      </c>
      <c r="D5" t="n">
        <v>1440</v>
      </c>
      <c r="E5" t="n">
        <v>0</v>
      </c>
      <c r="F5" t="n">
        <v>0.93</v>
      </c>
      <c r="G5" t="inlineStr">
        <is>
          <t>✓</t>
        </is>
      </c>
    </row>
    <row r="6">
      <c r="A6" t="inlineStr">
        <is>
          <t>Estructura</t>
        </is>
      </c>
      <c r="B6" t="inlineStr">
        <is>
          <t>MURO PANTALLA SUR</t>
        </is>
      </c>
      <c r="C6" t="inlineStr">
        <is>
          <t>—</t>
        </is>
      </c>
      <c r="D6" t="n">
        <v>1440</v>
      </c>
      <c r="E6" t="n">
        <v>0</v>
      </c>
      <c r="F6" t="n">
        <v>0.93</v>
      </c>
      <c r="G6" t="inlineStr">
        <is>
          <t>✓</t>
        </is>
      </c>
    </row>
    <row r="7">
      <c r="A7" s="3" t="inlineStr">
        <is>
          <t>Subtotal Estructura</t>
        </is>
      </c>
      <c r="D7" s="3" t="n">
        <v>2880</v>
      </c>
    </row>
    <row r="8">
      <c r="A8" t="inlineStr">
        <is>
          <t>Galeria</t>
        </is>
      </c>
      <c r="B8" t="inlineStr">
        <is>
          <t>GALERIA DE ACCESO NORTE 1</t>
        </is>
      </c>
      <c r="C8" t="inlineStr">
        <is>
          <t>—</t>
        </is>
      </c>
      <c r="D8" t="n">
        <v>147</v>
      </c>
      <c r="E8" t="n">
        <v>0</v>
      </c>
      <c r="F8" t="n">
        <v>0.92</v>
      </c>
      <c r="G8" t="inlineStr">
        <is>
          <t>✓</t>
        </is>
      </c>
    </row>
    <row r="9">
      <c r="A9" t="inlineStr">
        <is>
          <t>Galeria</t>
        </is>
      </c>
      <c r="B9" t="inlineStr">
        <is>
          <t>GALERIA DE ACCESO NORTE 2</t>
        </is>
      </c>
      <c r="C9" t="inlineStr">
        <is>
          <t>—</t>
        </is>
      </c>
      <c r="D9" t="n">
        <v>147</v>
      </c>
      <c r="E9" t="n">
        <v>0</v>
      </c>
      <c r="F9" t="n">
        <v>0.92</v>
      </c>
      <c r="G9" t="inlineStr">
        <is>
          <t>✓</t>
        </is>
      </c>
    </row>
    <row r="10">
      <c r="A10" t="inlineStr">
        <is>
          <t>Galeria</t>
        </is>
      </c>
      <c r="B10" t="inlineStr">
        <is>
          <t>GALERIA DE ACCESO SUR 1</t>
        </is>
      </c>
      <c r="C10" t="inlineStr">
        <is>
          <t>—</t>
        </is>
      </c>
      <c r="D10" t="n">
        <v>147</v>
      </c>
      <c r="E10" t="n">
        <v>0</v>
      </c>
      <c r="F10" t="n">
        <v>0.92</v>
      </c>
      <c r="G10" t="inlineStr">
        <is>
          <t>✓</t>
        </is>
      </c>
    </row>
    <row r="11">
      <c r="A11" t="inlineStr">
        <is>
          <t>Galeria</t>
        </is>
      </c>
      <c r="B11" t="inlineStr">
        <is>
          <t>GALERIA DE ACCESO SUR 2</t>
        </is>
      </c>
      <c r="C11" t="inlineStr">
        <is>
          <t>—</t>
        </is>
      </c>
      <c r="D11" t="n">
        <v>147</v>
      </c>
      <c r="E11" t="n">
        <v>0</v>
      </c>
      <c r="F11" t="n">
        <v>0.92</v>
      </c>
      <c r="G11" t="inlineStr">
        <is>
          <t>✓</t>
        </is>
      </c>
    </row>
    <row r="12">
      <c r="A12" t="inlineStr">
        <is>
          <t>Galeria</t>
        </is>
      </c>
      <c r="B12" t="inlineStr">
        <is>
          <t>GALERIA DE EVACUACION BYPASS</t>
        </is>
      </c>
      <c r="C12" t="inlineStr">
        <is>
          <t>—</t>
        </is>
      </c>
      <c r="D12" t="n">
        <v>378</v>
      </c>
      <c r="E12" t="n">
        <v>0</v>
      </c>
      <c r="F12" t="n">
        <v>0.9</v>
      </c>
      <c r="G12" t="inlineStr">
        <is>
          <t>✓</t>
        </is>
      </c>
    </row>
    <row r="13">
      <c r="A13" s="3" t="inlineStr">
        <is>
          <t>Subtotal Galeria</t>
        </is>
      </c>
      <c r="D13" s="3" t="n">
        <v>966</v>
      </c>
    </row>
    <row r="14">
      <c r="A14" t="inlineStr">
        <is>
          <t>Movimiento Tierras</t>
        </is>
      </c>
      <c r="B14" t="inlineStr">
        <is>
          <t>CORTE EN ROCA CAJA ESTACION</t>
        </is>
      </c>
      <c r="C14" t="inlineStr">
        <is>
          <t>—</t>
        </is>
      </c>
      <c r="D14" t="n">
        <v>2400</v>
      </c>
      <c r="E14" t="n">
        <v>0</v>
      </c>
      <c r="F14" t="n">
        <v>0.93</v>
      </c>
      <c r="G14" t="inlineStr">
        <is>
          <t>✓</t>
        </is>
      </c>
    </row>
    <row r="15">
      <c r="A15" t="inlineStr">
        <is>
          <t>Movimiento Tierras</t>
        </is>
      </c>
      <c r="B15" t="inlineStr">
        <is>
          <t>ESCARPE Y LIMPIEZA TERRENO</t>
        </is>
      </c>
      <c r="C15" t="inlineStr">
        <is>
          <t>—</t>
        </is>
      </c>
      <c r="D15" t="n">
        <v>12000</v>
      </c>
      <c r="E15" t="n">
        <v>0</v>
      </c>
      <c r="F15" t="n">
        <v>0.95</v>
      </c>
      <c r="G15" t="inlineStr">
        <is>
          <t>✓</t>
        </is>
      </c>
    </row>
    <row r="16">
      <c r="A16" t="inlineStr">
        <is>
          <t>Movimiento Tierras</t>
        </is>
      </c>
      <c r="B16" t="inlineStr">
        <is>
          <t>TERRAPLEN RAMPAS ACCESO</t>
        </is>
      </c>
      <c r="C16" t="inlineStr">
        <is>
          <t>—</t>
        </is>
      </c>
      <c r="D16" t="n">
        <v>1280</v>
      </c>
      <c r="E16" t="n">
        <v>0</v>
      </c>
      <c r="F16" t="n">
        <v>0.9</v>
      </c>
      <c r="G16" t="inlineStr">
        <is>
          <t>✓</t>
        </is>
      </c>
    </row>
    <row r="17">
      <c r="A17" s="3" t="inlineStr">
        <is>
          <t>Subtotal Movimiento Tierras</t>
        </is>
      </c>
      <c r="D17" s="3" t="n">
        <v>15680</v>
      </c>
    </row>
    <row r="18">
      <c r="A18" t="inlineStr">
        <is>
          <t>Tunel</t>
        </is>
      </c>
      <c r="B18" t="inlineStr">
        <is>
          <t>TUNEL METRO TBM TUBO NORTE</t>
        </is>
      </c>
      <c r="C18" t="inlineStr">
        <is>
          <t>—</t>
        </is>
      </c>
      <c r="D18" t="n">
        <v>1830</v>
      </c>
      <c r="E18" t="n">
        <v>0</v>
      </c>
      <c r="F18" t="n">
        <v>0.97</v>
      </c>
      <c r="G18" t="inlineStr">
        <is>
          <t>✓</t>
        </is>
      </c>
    </row>
    <row r="19">
      <c r="A19" t="inlineStr">
        <is>
          <t>Tunel</t>
        </is>
      </c>
      <c r="B19" t="inlineStr">
        <is>
          <t>TUNEL METRO TBM TUBO SUR</t>
        </is>
      </c>
      <c r="C19" t="inlineStr">
        <is>
          <t>—</t>
        </is>
      </c>
      <c r="D19" t="n">
        <v>1830</v>
      </c>
      <c r="E19" t="n">
        <v>0</v>
      </c>
      <c r="F19" t="n">
        <v>0.97</v>
      </c>
      <c r="G19" t="inlineStr">
        <is>
          <t>✓</t>
        </is>
      </c>
    </row>
    <row r="20">
      <c r="A20" s="3" t="inlineStr">
        <is>
          <t>Subtotal Tunel</t>
        </is>
      </c>
      <c r="D20" s="3" t="n">
        <v>3660</v>
      </c>
    </row>
    <row r="21">
      <c r="A21" t="inlineStr">
        <is>
          <t>Via</t>
        </is>
      </c>
      <c r="B21" t="inlineStr">
        <is>
          <t>VIA FERREA METRO TUBO NORTE</t>
        </is>
      </c>
      <c r="C21" t="inlineStr">
        <is>
          <t>—</t>
        </is>
      </c>
      <c r="D21" t="n">
        <v>432</v>
      </c>
      <c r="E21" t="n">
        <v>0</v>
      </c>
      <c r="F21" t="n">
        <v>0.9399999999999999</v>
      </c>
      <c r="G21" t="inlineStr">
        <is>
          <t>✓</t>
        </is>
      </c>
    </row>
    <row r="22">
      <c r="A22" t="inlineStr">
        <is>
          <t>Via</t>
        </is>
      </c>
      <c r="B22" t="inlineStr">
        <is>
          <t>VIA FERREA METRO TUBO SUR</t>
        </is>
      </c>
      <c r="C22" t="inlineStr">
        <is>
          <t>—</t>
        </is>
      </c>
      <c r="D22" t="n">
        <v>432</v>
      </c>
      <c r="E22" t="n">
        <v>0</v>
      </c>
      <c r="F22" t="n">
        <v>0.9399999999999999</v>
      </c>
      <c r="G22" t="inlineStr">
        <is>
          <t>✓</t>
        </is>
      </c>
    </row>
    <row r="23">
      <c r="A23" s="3" t="inlineStr">
        <is>
          <t>Subtotal Via</t>
        </is>
      </c>
      <c r="D23" s="3" t="n">
        <v>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6" customWidth="1" min="1" max="1"/>
    <col width="38" customWidth="1" min="2" max="2"/>
    <col width="8" customWidth="1" min="3" max="3"/>
    <col width="10" customWidth="1" min="4" max="4"/>
    <col width="16" customWidth="1" min="5" max="5"/>
    <col width="18" customWidth="1" min="6" max="6"/>
    <col width="18" customWidth="1" min="7" max="7"/>
  </cols>
  <sheetData>
    <row r="1">
      <c r="A1" s="5" t="inlineStr">
        <is>
          <t>Partida</t>
        </is>
      </c>
      <c r="B1" s="5" t="inlineStr">
        <is>
          <t>Descripcion</t>
        </is>
      </c>
      <c r="C1" s="5" t="inlineStr">
        <is>
          <t>Unidad</t>
        </is>
      </c>
      <c r="D1" s="5" t="inlineStr">
        <is>
          <t>Cantidad</t>
        </is>
      </c>
      <c r="E1" s="5" t="inlineStr">
        <is>
          <t>Precio unit. CLP</t>
        </is>
      </c>
      <c r="F1" s="5" t="inlineStr">
        <is>
          <t>Subtotal CLP</t>
        </is>
      </c>
      <c r="G1" s="5" t="inlineStr">
        <is>
          <t>Fuente</t>
        </is>
      </c>
    </row>
    <row r="3">
      <c r="A3" s="6" t="inlineStr">
        <is>
          <t>INFRAESTRUCTURA VIAL</t>
        </is>
      </c>
      <c r="B3" s="7" t="inlineStr">
        <is>
          <t>Cantidades estimadas — verificar con planos de seccion</t>
        </is>
      </c>
    </row>
    <row r="4">
      <c r="A4" t="inlineStr">
        <is>
          <t>excavacion_tunel_roca</t>
        </is>
      </c>
      <c r="B4" t="inlineStr">
        <is>
          <t>Excavacion TBM D=6.10m (Metro Santiago)</t>
        </is>
      </c>
      <c r="C4" t="inlineStr">
        <is>
          <t>m3</t>
        </is>
      </c>
      <c r="D4" t="n">
        <v>21881.8</v>
      </c>
      <c r="E4" t="n">
        <v>85000</v>
      </c>
      <c r="F4">
        <f>D4*E4</f>
        <v/>
      </c>
      <c r="G4" t="inlineStr">
        <is>
          <t>ONDAC 2026Q1</t>
        </is>
      </c>
    </row>
    <row r="5">
      <c r="A5" t="inlineStr">
        <is>
          <t>dovelas_prefabricadas</t>
        </is>
      </c>
      <c r="B5" t="inlineStr">
        <is>
          <t>Dovelas prefabricadas H-50 e=30cm (EIA L7)</t>
        </is>
      </c>
      <c r="C5" t="inlineStr">
        <is>
          <t>m2</t>
        </is>
      </c>
      <c r="D5" t="n">
        <v>11498.2</v>
      </c>
      <c r="E5" t="n">
        <v>220000</v>
      </c>
      <c r="F5">
        <f>D5*E5</f>
        <v/>
      </c>
      <c r="G5" t="inlineStr">
        <is>
          <t>ONDAC 2026Q1</t>
        </is>
      </c>
    </row>
    <row r="6">
      <c r="A6" t="inlineStr">
        <is>
          <t>acero_refuerzo_a630</t>
        </is>
      </c>
      <c r="B6" t="inlineStr">
        <is>
          <t>Acero A630-42H dovelas prefabricadas</t>
        </is>
      </c>
      <c r="C6" t="inlineStr">
        <is>
          <t>kg</t>
        </is>
      </c>
      <c r="D6" t="n">
        <v>463483.6</v>
      </c>
      <c r="E6" t="n">
        <v>1200</v>
      </c>
      <c r="F6">
        <f>D6*E6</f>
        <v/>
      </c>
      <c r="G6" t="inlineStr">
        <is>
          <t>ONDAC 2026Q1</t>
        </is>
      </c>
    </row>
    <row r="7">
      <c r="A7" t="inlineStr">
        <is>
          <t>impermeabilizacion_tunel</t>
        </is>
      </c>
      <c r="B7" t="inlineStr">
        <is>
          <t>Membrana impermeabilizacion HDPE (Norma ITA/Metro S.A.)</t>
        </is>
      </c>
      <c r="C7" t="inlineStr">
        <is>
          <t>m2</t>
        </is>
      </c>
      <c r="D7" t="n">
        <v>11498.2</v>
      </c>
      <c r="E7" t="n">
        <v>45000</v>
      </c>
      <c r="F7">
        <f>D7*E7</f>
        <v/>
      </c>
      <c r="G7" t="inlineStr">
        <is>
          <t>ONDAC 2026Q1</t>
        </is>
      </c>
    </row>
    <row r="8">
      <c r="A8" t="inlineStr">
        <is>
          <t>acera_hormigon_e10cm</t>
        </is>
      </c>
      <c r="B8" t="inlineStr">
        <is>
          <t>Acera hormigon e=10cm</t>
        </is>
      </c>
      <c r="C8" t="inlineStr">
        <is>
          <t>m2</t>
        </is>
      </c>
      <c r="D8" t="n">
        <v>1152</v>
      </c>
      <c r="E8" t="n">
        <v>18000</v>
      </c>
      <c r="F8">
        <f>D8*E8</f>
        <v/>
      </c>
      <c r="G8" t="inlineStr">
        <is>
          <t>ONDAC 2026Q1</t>
        </is>
      </c>
    </row>
    <row r="9">
      <c r="A9" t="inlineStr">
        <is>
          <t>base_granular_e200mm</t>
        </is>
      </c>
      <c r="B9" t="inlineStr">
        <is>
          <t>Base granular vereda</t>
        </is>
      </c>
      <c r="C9" t="inlineStr">
        <is>
          <t>m2</t>
        </is>
      </c>
      <c r="D9" t="n">
        <v>1152</v>
      </c>
      <c r="E9" t="n">
        <v>5500</v>
      </c>
      <c r="F9">
        <f>D9*E9</f>
        <v/>
      </c>
      <c r="G9" t="inlineStr">
        <is>
          <t>ONDAC 2026Q1</t>
        </is>
      </c>
    </row>
    <row r="10">
      <c r="A10" t="inlineStr">
        <is>
          <t>muro_contencion_hormigon</t>
        </is>
      </c>
      <c r="B10" t="inlineStr">
        <is>
          <t>Muro de contencion hormigon (all-inclusive)</t>
        </is>
      </c>
      <c r="C10" t="inlineStr">
        <is>
          <t>m2</t>
        </is>
      </c>
      <c r="D10" t="n">
        <v>2880</v>
      </c>
      <c r="E10" t="n">
        <v>95000</v>
      </c>
      <c r="F10">
        <f>D10*E10</f>
        <v/>
      </c>
      <c r="G10" t="inlineStr">
        <is>
          <t>ONDAC 2026Q1</t>
        </is>
      </c>
    </row>
    <row r="11">
      <c r="A11" t="inlineStr">
        <is>
          <t>revestimiento_tunel_hormigon</t>
        </is>
      </c>
      <c r="B11" t="inlineStr">
        <is>
          <t>Revestimiento galeria hormigon e=30cm</t>
        </is>
      </c>
      <c r="C11" t="inlineStr">
        <is>
          <t>m2</t>
        </is>
      </c>
      <c r="D11" t="n">
        <v>4002</v>
      </c>
      <c r="E11" t="n">
        <v>120000</v>
      </c>
      <c r="F11">
        <f>D11*E11</f>
        <v/>
      </c>
      <c r="G11" t="inlineStr">
        <is>
          <t>ONDAC 2026Q1</t>
        </is>
      </c>
    </row>
    <row r="12">
      <c r="A12" t="inlineStr">
        <is>
          <t>excavacion_en_corte</t>
        </is>
      </c>
      <c r="B12" t="inlineStr">
        <is>
          <t>Excavacion en corte h_media=14.0m</t>
        </is>
      </c>
      <c r="C12" t="inlineStr">
        <is>
          <t>m3</t>
        </is>
      </c>
      <c r="D12" t="n">
        <v>33600</v>
      </c>
      <c r="E12" t="n">
        <v>18000</v>
      </c>
      <c r="F12">
        <f>D12*E12</f>
        <v/>
      </c>
      <c r="G12" t="inlineStr">
        <is>
          <t>ONDAC 2026Q1</t>
        </is>
      </c>
    </row>
    <row r="13">
      <c r="A13" t="inlineStr">
        <is>
          <t>terraplen_compactado</t>
        </is>
      </c>
      <c r="B13" t="inlineStr">
        <is>
          <t>Terraplen compactado h_media=3.0m</t>
        </is>
      </c>
      <c r="C13" t="inlineStr">
        <is>
          <t>m3</t>
        </is>
      </c>
      <c r="D13" t="n">
        <v>3840</v>
      </c>
      <c r="E13" t="n">
        <v>6000</v>
      </c>
      <c r="F13">
        <f>D13*E13</f>
        <v/>
      </c>
      <c r="G13" t="inlineStr">
        <is>
          <t>ONDAC 2026Q1</t>
        </is>
      </c>
    </row>
    <row r="14">
      <c r="A14" t="inlineStr">
        <is>
          <t>escarpe_y_limpieza</t>
        </is>
      </c>
      <c r="B14" t="inlineStr">
        <is>
          <t>Escarpe y limpieza terreno vegetal</t>
        </is>
      </c>
      <c r="C14" t="inlineStr">
        <is>
          <t>m2</t>
        </is>
      </c>
      <c r="D14" t="n">
        <v>12000</v>
      </c>
      <c r="E14" t="n">
        <v>2500</v>
      </c>
      <c r="F14">
        <f>D14*E14</f>
        <v/>
      </c>
      <c r="G14" t="inlineStr">
        <is>
          <t>ONDAC 2026Q1</t>
        </is>
      </c>
    </row>
    <row r="15">
      <c r="A15" t="inlineStr">
        <is>
          <t>via_ferrea_monovia</t>
        </is>
      </c>
      <c r="B15" t="inlineStr">
        <is>
          <t>Via ferrea UIC60 instalada (EFE Norma Via 2019)</t>
        </is>
      </c>
      <c r="C15" t="inlineStr">
        <is>
          <t>ml</t>
        </is>
      </c>
      <c r="D15" t="n">
        <v>600</v>
      </c>
      <c r="E15" t="n">
        <v>380000</v>
      </c>
      <c r="F15">
        <f>D15*E15</f>
        <v/>
      </c>
      <c r="G15" t="inlineStr">
        <is>
          <t>ONDAC 2026Q1</t>
        </is>
      </c>
    </row>
    <row r="16">
      <c r="A16" t="inlineStr">
        <is>
          <t>balasto_granular</t>
        </is>
      </c>
      <c r="B16" t="inlineStr">
        <is>
          <t>Balasto limpio e=35cm</t>
        </is>
      </c>
      <c r="C16" t="inlineStr">
        <is>
          <t>m3</t>
        </is>
      </c>
      <c r="D16" t="n">
        <v>210</v>
      </c>
      <c r="E16" t="n">
        <v>45000</v>
      </c>
      <c r="F16">
        <f>D16*E16</f>
        <v/>
      </c>
      <c r="G16" t="inlineStr">
        <is>
          <t>ONDAC 2026Q1</t>
        </is>
      </c>
    </row>
    <row r="17">
      <c r="A17" t="inlineStr">
        <is>
          <t>traviesa_hormigon</t>
        </is>
      </c>
      <c r="B17" t="inlineStr">
        <is>
          <t>Traviesa bibloque hormigon c/60cm (EFE)</t>
        </is>
      </c>
      <c r="C17" t="inlineStr">
        <is>
          <t>un</t>
        </is>
      </c>
      <c r="D17" t="n">
        <v>1000</v>
      </c>
      <c r="E17" t="n">
        <v>85000</v>
      </c>
      <c r="F17">
        <f>D17*E17</f>
        <v/>
      </c>
      <c r="G17" t="inlineStr">
        <is>
          <t>ONDAC 2026Q1</t>
        </is>
      </c>
    </row>
    <row r="18">
      <c r="A18" t="inlineStr">
        <is>
          <t>sub_base_granular_e200mm</t>
        </is>
      </c>
      <c r="B18" t="inlineStr">
        <is>
          <t>Subbalasto granular (cama bajo balasto)</t>
        </is>
      </c>
      <c r="C18" t="inlineStr">
        <is>
          <t>m2</t>
        </is>
      </c>
      <c r="D18" t="n">
        <v>864</v>
      </c>
      <c r="E18" t="n">
        <v>3800</v>
      </c>
      <c r="F18">
        <f>D18*E18</f>
        <v/>
      </c>
      <c r="G18" t="inlineStr">
        <is>
          <t>ONDAC 2026Q1</t>
        </is>
      </c>
    </row>
    <row r="20">
      <c r="B20" s="3" t="inlineStr">
        <is>
          <t>SUBTOTAL NETO</t>
        </is>
      </c>
      <c r="F20" s="3">
        <f>SUM(F2:F18)</f>
        <v/>
      </c>
    </row>
    <row r="21">
      <c r="B21" t="inlineStr">
        <is>
          <t>GG + Utilidad (25%)</t>
        </is>
      </c>
      <c r="F21">
        <f>F20*0.25</f>
        <v/>
      </c>
    </row>
    <row r="22">
      <c r="B22" s="3" t="inlineStr">
        <is>
          <t>SUBTOTAL + GG&amp;U</t>
        </is>
      </c>
      <c r="F22" s="3">
        <f>F20+F21</f>
        <v/>
      </c>
    </row>
    <row r="23">
      <c r="B23" t="inlineStr">
        <is>
          <t>IVA (19%)</t>
        </is>
      </c>
      <c r="F23">
        <f>F22*0.19</f>
        <v/>
      </c>
    </row>
    <row r="24">
      <c r="B24" s="8" t="inlineStr">
        <is>
          <t>TOTAL CON IVA</t>
        </is>
      </c>
      <c r="F24" s="4">
        <f>F22+F23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</cols>
  <sheetData>
    <row r="1">
      <c r="A1" s="8" t="inlineStr">
        <is>
          <t>SCHEDULE EXTRAIDO</t>
        </is>
      </c>
    </row>
    <row r="3">
      <c r="A3" t="inlineStr">
        <is>
          <t>(sin tabla de areas detectada)</t>
        </is>
      </c>
    </row>
    <row r="6">
      <c r="A6" s="8" t="inlineStr">
        <is>
          <t>OBSERVACIONES API</t>
        </is>
      </c>
    </row>
    <row r="8">
      <c r="A8" s="8" t="inlineStr">
        <is>
          <t>COSTO Y TOKENS API</t>
        </is>
      </c>
    </row>
    <row r="9">
      <c r="A9" t="inlineStr">
        <is>
          <t>Tiles procesados:</t>
        </is>
      </c>
      <c r="B9" t="n">
        <v>1</v>
      </c>
    </row>
    <row r="10">
      <c r="A10" t="inlineStr">
        <is>
          <t>Tokens entrada:</t>
        </is>
      </c>
      <c r="B10" t="n">
        <v>1800</v>
      </c>
    </row>
    <row r="11">
      <c r="A11" t="inlineStr">
        <is>
          <t>Tokens salida:</t>
        </is>
      </c>
      <c r="B11" t="n">
        <v>200</v>
      </c>
    </row>
    <row r="12">
      <c r="A12" t="inlineStr">
        <is>
          <t>Costo API USD:</t>
        </is>
      </c>
      <c r="B12" t="inlineStr">
        <is>
          <t>$0.0420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2026-05-18T16:01:06Z</dcterms:created>
  <dcterms:modified xsi:type="dcterms:W3CDTF">2026-05-18T16:01:06Z</dcterms:modified>
</cp:coreProperties>
</file>