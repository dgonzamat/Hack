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03:12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4686.0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4686.0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$ 132.780.000</t>
        </is>
      </c>
    </row>
    <row r="14">
      <c r="A14" s="2" t="inlineStr">
        <is>
          <t>GG + Utilidad (25%):</t>
        </is>
      </c>
      <c r="B14" t="inlineStr">
        <is>
          <t>$ 33.195.000</t>
        </is>
      </c>
    </row>
    <row r="15">
      <c r="A15" s="2" t="inlineStr">
        <is>
          <t>Subtotal + GG&amp;U:</t>
        </is>
      </c>
      <c r="B15" t="inlineStr">
        <is>
          <t>$ 165.975.000</t>
        </is>
      </c>
    </row>
    <row r="16">
      <c r="A16" s="2" t="inlineStr">
        <is>
          <t>IVA (19%):</t>
        </is>
      </c>
      <c r="B16" t="inlineStr">
        <is>
          <t>$ 31.535.250</t>
        </is>
      </c>
    </row>
    <row r="17">
      <c r="A17" s="3" t="inlineStr">
        <is>
          <t>TOTAL CON IVA:</t>
        </is>
      </c>
      <c r="B17" s="4" t="inlineStr">
        <is>
          <t>$ 197.510.250 CLP</t>
        </is>
      </c>
    </row>
    <row r="18">
      <c r="A18" s="2" t="inlineStr">
        <is>
          <t>Costo por m²:</t>
        </is>
      </c>
      <c r="B18" t="inlineStr">
        <is>
          <t>$ 42.149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Interseccion</t>
        </is>
      </c>
      <c r="B2" t="inlineStr">
        <is>
          <t>CALZADA INTERSECCION CENTRAL</t>
        </is>
      </c>
      <c r="C2" t="inlineStr">
        <is>
          <t>vial</t>
        </is>
      </c>
      <c r="D2" t="n">
        <v>784</v>
      </c>
      <c r="E2" t="n">
        <v>114.31</v>
      </c>
      <c r="F2" t="n">
        <v>0.9</v>
      </c>
      <c r="G2" t="inlineStr">
        <is>
          <t>✓</t>
        </is>
      </c>
    </row>
    <row r="3">
      <c r="A3" t="inlineStr">
        <is>
          <t>Interseccion</t>
        </is>
      </c>
      <c r="B3" t="inlineStr">
        <is>
          <t>CALZADA VIA PRINCIPAL</t>
        </is>
      </c>
      <c r="C3" t="inlineStr">
        <is>
          <t>vial</t>
        </is>
      </c>
      <c r="D3" t="n">
        <v>1120</v>
      </c>
      <c r="E3" t="n">
        <v>136.63</v>
      </c>
      <c r="F3" t="n">
        <v>0.92</v>
      </c>
      <c r="G3" t="inlineStr">
        <is>
          <t>✓</t>
        </is>
      </c>
    </row>
    <row r="4">
      <c r="A4" t="inlineStr">
        <is>
          <t>Interseccion</t>
        </is>
      </c>
      <c r="B4" t="inlineStr">
        <is>
          <t>CALZADA VIA SECUNDARIA</t>
        </is>
      </c>
      <c r="C4" t="inlineStr">
        <is>
          <t>vial</t>
        </is>
      </c>
      <c r="D4" t="n">
        <v>720</v>
      </c>
      <c r="E4" t="n">
        <v>109.54</v>
      </c>
      <c r="F4" t="n">
        <v>0.9</v>
      </c>
      <c r="G4" t="inlineStr">
        <is>
          <t>✓</t>
        </is>
      </c>
    </row>
    <row r="5">
      <c r="A5" t="inlineStr">
        <is>
          <t>Interseccion</t>
        </is>
      </c>
      <c r="B5" t="inlineStr">
        <is>
          <t>CAMINO DE SERVICIO PARQUE</t>
        </is>
      </c>
      <c r="C5" t="inlineStr">
        <is>
          <t>vial</t>
        </is>
      </c>
      <c r="D5" t="n">
        <v>240</v>
      </c>
      <c r="E5" t="n">
        <v>63.25</v>
      </c>
      <c r="F5" t="n">
        <v>0.78</v>
      </c>
      <c r="G5" t="inlineStr">
        <is>
          <t>✓</t>
        </is>
      </c>
    </row>
    <row r="6">
      <c r="A6" t="inlineStr">
        <is>
          <t>Interseccion</t>
        </is>
      </c>
      <c r="B6" t="inlineStr">
        <is>
          <t>CICLOVIA SEGREGADA</t>
        </is>
      </c>
      <c r="C6" t="inlineStr">
        <is>
          <t>vial</t>
        </is>
      </c>
      <c r="D6" t="n">
        <v>560</v>
      </c>
      <c r="E6" t="n">
        <v>96.61</v>
      </c>
      <c r="F6" t="n">
        <v>0.88</v>
      </c>
      <c r="G6" t="inlineStr">
        <is>
          <t>✓</t>
        </is>
      </c>
    </row>
    <row r="7">
      <c r="A7" t="inlineStr">
        <is>
          <t>Interseccion</t>
        </is>
      </c>
      <c r="B7" t="inlineStr">
        <is>
          <t>CUNETA REVESTIDA HORMIGON</t>
        </is>
      </c>
      <c r="C7" t="inlineStr">
        <is>
          <t>vial</t>
        </is>
      </c>
      <c r="D7" t="n">
        <v>64</v>
      </c>
      <c r="E7" t="n">
        <v>32.66</v>
      </c>
      <c r="F7" t="n">
        <v>0.8</v>
      </c>
      <c r="G7" t="inlineStr">
        <is>
          <t>✓</t>
        </is>
      </c>
    </row>
    <row r="8">
      <c r="A8" t="inlineStr">
        <is>
          <t>Interseccion</t>
        </is>
      </c>
      <c r="B8" t="inlineStr">
        <is>
          <t>DEMARCACION VIAL CRUCE PEATONAL</t>
        </is>
      </c>
      <c r="C8" t="inlineStr">
        <is>
          <t>vial</t>
        </is>
      </c>
      <c r="D8" t="n">
        <v>140</v>
      </c>
      <c r="E8" t="n">
        <v>48.3</v>
      </c>
      <c r="F8" t="n">
        <v>0.85</v>
      </c>
      <c r="G8" t="inlineStr">
        <is>
          <t>✓</t>
        </is>
      </c>
    </row>
    <row r="9">
      <c r="A9" t="inlineStr">
        <is>
          <t>Interseccion</t>
        </is>
      </c>
      <c r="B9" t="inlineStr">
        <is>
          <t>ILUMINACION VIAL INTERSECCION</t>
        </is>
      </c>
      <c r="C9" t="inlineStr">
        <is>
          <t>vial</t>
        </is>
      </c>
      <c r="D9" t="n">
        <v>48</v>
      </c>
      <c r="E9" t="n">
        <v>28.28</v>
      </c>
      <c r="F9" t="n">
        <v>0.85</v>
      </c>
      <c r="G9" t="inlineStr">
        <is>
          <t>✓</t>
        </is>
      </c>
    </row>
    <row r="10">
      <c r="A10" t="inlineStr">
        <is>
          <t>Interseccion</t>
        </is>
      </c>
      <c r="B10" t="inlineStr">
        <is>
          <t>MEDIANA CENTRAL VIA PRINCIPAL</t>
        </is>
      </c>
      <c r="C10" t="inlineStr">
        <is>
          <t>vial</t>
        </is>
      </c>
      <c r="D10" t="n">
        <v>240</v>
      </c>
      <c r="E10" t="n">
        <v>63.25</v>
      </c>
      <c r="F10" t="n">
        <v>0.82</v>
      </c>
      <c r="G10" t="inlineStr">
        <is>
          <t>✓</t>
        </is>
      </c>
    </row>
    <row r="11">
      <c r="A11" t="inlineStr">
        <is>
          <t>Interseccion</t>
        </is>
      </c>
      <c r="B11" t="inlineStr">
        <is>
          <t>MURO DE CONTENCION DIFERENCIA NIVEL</t>
        </is>
      </c>
      <c r="C11" t="inlineStr">
        <is>
          <t>vial</t>
        </is>
      </c>
      <c r="D11" t="n">
        <v>100</v>
      </c>
      <c r="E11" t="n">
        <v>40.82</v>
      </c>
      <c r="F11" t="n">
        <v>0.82</v>
      </c>
      <c r="G11" t="inlineStr">
        <is>
          <t>✓</t>
        </is>
      </c>
    </row>
    <row r="12">
      <c r="A12" t="inlineStr">
        <is>
          <t>Interseccion</t>
        </is>
      </c>
      <c r="B12" t="inlineStr">
        <is>
          <t>SENALETIVA VERTICAL</t>
        </is>
      </c>
      <c r="C12" t="inlineStr">
        <is>
          <t>vial</t>
        </is>
      </c>
      <c r="D12" t="n">
        <v>30</v>
      </c>
      <c r="E12" t="n">
        <v>22.36</v>
      </c>
      <c r="F12" t="n">
        <v>0.8</v>
      </c>
      <c r="G12" t="inlineStr">
        <is>
          <t>✓</t>
        </is>
      </c>
    </row>
    <row r="13">
      <c r="A13" t="inlineStr">
        <is>
          <t>Interseccion</t>
        </is>
      </c>
      <c r="B13" t="inlineStr">
        <is>
          <t>VEREDA VIA PRINCIPAL</t>
        </is>
      </c>
      <c r="C13" t="inlineStr">
        <is>
          <t>vial</t>
        </is>
      </c>
      <c r="D13" t="n">
        <v>400</v>
      </c>
      <c r="E13" t="n">
        <v>81.65000000000001</v>
      </c>
      <c r="F13" t="n">
        <v>0.88</v>
      </c>
      <c r="G13" t="inlineStr">
        <is>
          <t>✓</t>
        </is>
      </c>
    </row>
    <row r="14">
      <c r="A14" t="inlineStr">
        <is>
          <t>Interseccion</t>
        </is>
      </c>
      <c r="B14" t="inlineStr">
        <is>
          <t>VEREDA VIA SECUNDARIA</t>
        </is>
      </c>
      <c r="C14" t="inlineStr">
        <is>
          <t>vial</t>
        </is>
      </c>
      <c r="D14" t="n">
        <v>240</v>
      </c>
      <c r="E14" t="n">
        <v>63.25</v>
      </c>
      <c r="F14" t="n">
        <v>0.85</v>
      </c>
      <c r="G14" t="inlineStr">
        <is>
          <t>✓</t>
        </is>
      </c>
    </row>
    <row r="15">
      <c r="A15" s="3" t="inlineStr">
        <is>
          <t>Subtotal Interseccion</t>
        </is>
      </c>
      <c r="D15" s="3" t="n">
        <v>4686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2624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4064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2864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subrasante_estabilizada</t>
        </is>
      </c>
      <c r="B7" t="inlineStr">
        <is>
          <t>Subrasante estabilizada e=150mm</t>
        </is>
      </c>
      <c r="C7" t="inlineStr">
        <is>
          <t>m2</t>
        </is>
      </c>
      <c r="D7" t="n">
        <v>2624</v>
      </c>
      <c r="E7" t="n">
        <v>4500</v>
      </c>
      <c r="F7">
        <f>D7*E7</f>
        <v/>
      </c>
      <c r="G7" t="inlineStr">
        <is>
          <t>ONDAC 2026Q1</t>
        </is>
      </c>
    </row>
    <row r="8">
      <c r="A8" t="inlineStr">
        <is>
          <t>excavacion_tierra_comun</t>
        </is>
      </c>
      <c r="B8" t="inlineStr">
        <is>
          <t>Excavacion tierra comun</t>
        </is>
      </c>
      <c r="C8" t="inlineStr">
        <is>
          <t>m3</t>
        </is>
      </c>
      <c r="D8" t="n">
        <v>1696.6</v>
      </c>
      <c r="E8" t="n">
        <v>8000</v>
      </c>
      <c r="F8">
        <f>D8*E8</f>
        <v/>
      </c>
      <c r="G8" t="inlineStr">
        <is>
          <t>ONDAC 2026Q1</t>
        </is>
      </c>
    </row>
    <row r="9">
      <c r="A9" t="inlineStr">
        <is>
          <t>acera_hormigon_e10cm</t>
        </is>
      </c>
      <c r="B9" t="inlineStr">
        <is>
          <t>Acera hormigon e=10cm</t>
        </is>
      </c>
      <c r="C9" t="inlineStr">
        <is>
          <t>m2</t>
        </is>
      </c>
      <c r="D9" t="n">
        <v>640</v>
      </c>
      <c r="E9" t="n">
        <v>18000</v>
      </c>
      <c r="F9">
        <f>D9*E9</f>
        <v/>
      </c>
      <c r="G9" t="inlineStr">
        <is>
          <t>ONDAC 2026Q1</t>
        </is>
      </c>
    </row>
    <row r="10">
      <c r="A10" t="inlineStr">
        <is>
          <t>ciclovia_pavimento</t>
        </is>
      </c>
      <c r="B10" t="inlineStr">
        <is>
          <t>Ciclovia pavimento</t>
        </is>
      </c>
      <c r="C10" t="inlineStr">
        <is>
          <t>m2</t>
        </is>
      </c>
      <c r="D10" t="n">
        <v>560</v>
      </c>
      <c r="E10" t="n">
        <v>22000</v>
      </c>
      <c r="F10">
        <f>D10*E10</f>
        <v/>
      </c>
      <c r="G10" t="inlineStr">
        <is>
          <t>ONDAC 2026Q1</t>
        </is>
      </c>
    </row>
    <row r="11">
      <c r="A11" t="inlineStr">
        <is>
          <t>revegetacion_hidrosiembra</t>
        </is>
      </c>
      <c r="B11" t="inlineStr">
        <is>
          <t>Revegetacion hidrosiembra taludes</t>
        </is>
      </c>
      <c r="C11" t="inlineStr">
        <is>
          <t>m2</t>
        </is>
      </c>
      <c r="D11" t="n">
        <v>240</v>
      </c>
      <c r="E11" t="n">
        <v>3500</v>
      </c>
      <c r="F11">
        <f>D11*E11</f>
        <v/>
      </c>
      <c r="G11" t="inlineStr">
        <is>
          <t>ONDAC 2026Q1</t>
        </is>
      </c>
    </row>
    <row r="12">
      <c r="A12" t="inlineStr">
        <is>
          <t>demarcacion_vial_termoplastico</t>
        </is>
      </c>
      <c r="B12" t="inlineStr">
        <is>
          <t>Demarcacion vial termoplastico</t>
        </is>
      </c>
      <c r="C12" t="inlineStr">
        <is>
          <t>m2</t>
        </is>
      </c>
      <c r="D12" t="n">
        <v>140</v>
      </c>
      <c r="E12" t="n">
        <v>8000</v>
      </c>
      <c r="F12">
        <f>D12*E12</f>
        <v/>
      </c>
      <c r="G12" t="inlineStr">
        <is>
          <t>ONDAC 2026Q1</t>
        </is>
      </c>
    </row>
    <row r="13">
      <c r="A13" t="inlineStr">
        <is>
          <t>senal_vial_retrorreflectante</t>
        </is>
      </c>
      <c r="B13" t="inlineStr">
        <is>
          <t>Senal vial retroreflectante (1.5m²/señal)</t>
        </is>
      </c>
      <c r="C13" t="inlineStr">
        <is>
          <t>un</t>
        </is>
      </c>
      <c r="D13" t="n">
        <v>20</v>
      </c>
      <c r="E13" t="n">
        <v>180000</v>
      </c>
      <c r="F13">
        <f>D13*E13</f>
        <v/>
      </c>
      <c r="G13" t="inlineStr">
        <is>
          <t>ONDAC 2026Q1</t>
        </is>
      </c>
    </row>
    <row r="14">
      <c r="A14" t="inlineStr">
        <is>
          <t>luminaria_led_vial</t>
        </is>
      </c>
      <c r="B14" t="inlineStr">
        <is>
          <t>Luminaria LED vial (poste + luminaria + instalacion)</t>
        </is>
      </c>
      <c r="C14" t="inlineStr">
        <is>
          <t>un</t>
        </is>
      </c>
      <c r="D14" t="n">
        <v>12</v>
      </c>
      <c r="E14" t="n">
        <v>480000</v>
      </c>
      <c r="F14">
        <f>D14*E14</f>
        <v/>
      </c>
      <c r="G14" t="inlineStr">
        <is>
          <t>ONDAC 2026Q1</t>
        </is>
      </c>
    </row>
    <row r="15">
      <c r="A15" t="inlineStr">
        <is>
          <t>cuneta_hormigon_revestida</t>
        </is>
      </c>
      <c r="B15" t="inlineStr">
        <is>
          <t>Cuneta hormigon revestida a=0.40m</t>
        </is>
      </c>
      <c r="C15" t="inlineStr">
        <is>
          <t>ml</t>
        </is>
      </c>
      <c r="D15" t="n">
        <v>160</v>
      </c>
      <c r="E15" t="n">
        <v>45000</v>
      </c>
      <c r="F15">
        <f>D15*E15</f>
        <v/>
      </c>
      <c r="G15" t="inlineStr">
        <is>
          <t>ONDAC 2026Q1</t>
        </is>
      </c>
    </row>
    <row r="16">
      <c r="A16" t="inlineStr">
        <is>
          <t>muro_contencion_hormigon</t>
        </is>
      </c>
      <c r="B16" t="inlineStr">
        <is>
          <t>Muro de contencion hormigon (all-inclusive)</t>
        </is>
      </c>
      <c r="C16" t="inlineStr">
        <is>
          <t>m2</t>
        </is>
      </c>
      <c r="D16" t="n">
        <v>100</v>
      </c>
      <c r="E16" t="n">
        <v>95000</v>
      </c>
      <c r="F16">
        <f>D16*E16</f>
        <v/>
      </c>
      <c r="G16" t="inlineStr">
        <is>
          <t>ONDAC 2026Q1</t>
        </is>
      </c>
    </row>
    <row r="18">
      <c r="B18" s="3" t="inlineStr">
        <is>
          <t>SUBTOTAL NETO</t>
        </is>
      </c>
      <c r="F18" s="3">
        <f>SUM(F2:F16)</f>
        <v/>
      </c>
    </row>
    <row r="19">
      <c r="B19" t="inlineStr">
        <is>
          <t>GG + Utilidad (25%)</t>
        </is>
      </c>
      <c r="F19">
        <f>F18*0.25</f>
        <v/>
      </c>
    </row>
    <row r="20">
      <c r="B20" s="3" t="inlineStr">
        <is>
          <t>SUBTOTAL + GG&amp;U</t>
        </is>
      </c>
      <c r="F20" s="3">
        <f>F18+F19</f>
        <v/>
      </c>
    </row>
    <row r="21">
      <c r="B21" t="inlineStr">
        <is>
          <t>IVA (19%)</t>
        </is>
      </c>
      <c r="F21">
        <f>F20*0.19</f>
        <v/>
      </c>
    </row>
    <row r="22">
      <c r="B22" s="8" t="inlineStr">
        <is>
          <t>TOTAL CON IVA</t>
        </is>
      </c>
      <c r="F22" s="4">
        <f>F20+F21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1800</v>
      </c>
    </row>
    <row r="11">
      <c r="A11" t="inlineStr">
        <is>
          <t>Tokens salida:</t>
        </is>
      </c>
      <c r="B11" t="n">
        <v>210</v>
      </c>
    </row>
    <row r="12">
      <c r="A12" t="inlineStr">
        <is>
          <t>Costo API USD:</t>
        </is>
      </c>
      <c r="B12" t="inlineStr">
        <is>
          <t>$0.0428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2026-05-18T03:12:24Z</dcterms:created>
  <dcterms:modified xsi:type="dcterms:W3CDTF">2026-05-18T03:12:24Z</dcterms:modified>
</cp:coreProperties>
</file>