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3695" tabRatio="600" firstSheet="0" activeTab="1" autoFilterDateGrouping="1"/>
  </bookViews>
  <sheets>
    <sheet name="Resumen Oferta" sheetId="1" state="visible" r:id="rId1"/>
    <sheet name="A) Detalle Costo Directo" sheetId="2" state="visible" r:id="rId2"/>
    <sheet name="B) Detalle C. Ind., GG y Utilid" sheetId="3" state="visible" r:id="rId3"/>
    <sheet name="Análisis de Precios" sheetId="4" state="visible" r:id="rId4"/>
    <sheet name="Memoria de Cálculo" sheetId="5" state="visible" r:id="rId5"/>
  </sheets>
  <externalReferences>
    <externalReference r:id="rId6"/>
  </externalReferences>
  <definedNames>
    <definedName name="CLASIFICACION">[1]PANEL!$D$11</definedName>
    <definedName name="SUELDOS">'[1]VALOR M.O.'!$B$6:$E$52</definedName>
    <definedName name="_xlnm.Print_Titles" localSheetId="0">'Resumen Oferta'!$2:$8</definedName>
    <definedName name="_xlnm.Print_Area" localSheetId="0">'Resumen Oferta'!$B$2:$D$30</definedName>
    <definedName name="_xlnm.Print_Titles" localSheetId="1">'A) Detalle Costo Directo'!$2:$7</definedName>
    <definedName name="_xlnm.Print_Area" localSheetId="1">'A) Detalle Costo Directo'!$A$2:$F$370</definedName>
    <definedName name="_xlnm.Print_Titles" localSheetId="2">'B) Detalle C. Ind., GG y Utilid'!$2:$8</definedName>
    <definedName name="_xlnm.Print_Area" localSheetId="2">'B) Detalle C. Ind., GG y Utilid'!$A$2:$G$70</definedName>
  </definedNames>
  <calcPr calcId="191028" fullCalcOnLoad="1"/>
</workbook>
</file>

<file path=xl/styles.xml><?xml version="1.0" encoding="utf-8"?>
<styleSheet xmlns="http://schemas.openxmlformats.org/spreadsheetml/2006/main">
  <numFmts count="5">
    <numFmt numFmtId="164" formatCode="#,##0.00\ \U\F"/>
    <numFmt numFmtId="165" formatCode="0.0"/>
    <numFmt numFmtId="166" formatCode="_ &quot;$&quot;* #,##0_ ;_ &quot;$&quot;* \-#,##0_ ;_ &quot;$&quot;* &quot;-&quot;_ ;_ @_ "/>
    <numFmt numFmtId="167" formatCode="_ * #,##0_ ;_ * \-#,##0_ ;_ * &quot;-&quot;_ ;_ @_ "/>
    <numFmt numFmtId="168" formatCode="#,##0.0000"/>
  </numFmts>
  <fonts count="37">
    <font>
      <name val="Calibri"/>
      <family val="2"/>
      <color theme="1"/>
      <sz val="11"/>
      <scheme val="minor"/>
    </font>
    <font>
      <name val="Tahoma"/>
      <family val="2"/>
      <b val="1"/>
      <color theme="1"/>
      <sz val="10"/>
    </font>
    <font>
      <name val="Tahoma"/>
      <family val="2"/>
      <color theme="1"/>
      <sz val="10"/>
    </font>
    <font>
      <name val="Tahoma"/>
      <family val="2"/>
      <color theme="1"/>
      <sz val="11"/>
    </font>
    <font>
      <name val="Tahoma"/>
      <family val="2"/>
      <b val="1"/>
      <color theme="1"/>
      <sz val="5"/>
    </font>
    <font>
      <name val="Tahoma"/>
      <family val="2"/>
      <b val="1"/>
      <color theme="1"/>
      <sz val="5.5"/>
    </font>
    <font>
      <name val="Calibri"/>
      <family val="2"/>
      <sz val="8"/>
      <scheme val="minor"/>
    </font>
    <font>
      <name val="Tahoma"/>
      <family val="2"/>
      <b val="1"/>
      <color theme="1"/>
      <sz val="11"/>
    </font>
    <font>
      <name val="Calibri"/>
      <family val="2"/>
      <color theme="1"/>
      <sz val="11"/>
      <scheme val="minor"/>
    </font>
    <font>
      <name val="Tahoma"/>
      <family val="2"/>
      <b val="1"/>
      <sz val="10"/>
    </font>
    <font>
      <name val="Calibri"/>
      <family val="2"/>
      <color theme="1"/>
      <sz val="10"/>
    </font>
    <font>
      <name val="Calibri"/>
      <family val="2"/>
      <sz val="10"/>
    </font>
    <font>
      <name val="Tahoma"/>
      <family val="2"/>
      <color rgb="FFCCFF33"/>
      <sz val="10"/>
    </font>
    <font>
      <name val="Tahoma"/>
      <family val="2"/>
      <sz val="10"/>
    </font>
    <font>
      <name val="Tahoma"/>
      <family val="2"/>
      <strike val="1"/>
      <sz val="10"/>
    </font>
    <font>
      <name val="Tahoma"/>
      <family val="2"/>
      <color rgb="FF000000"/>
      <sz val="10"/>
    </font>
    <font>
      <name val="Tahoma"/>
      <family val="2"/>
      <color rgb="FF242424"/>
      <sz val="10"/>
    </font>
    <font>
      <name val="Arial"/>
      <family val="2"/>
      <b val="1"/>
      <color theme="1"/>
      <sz val="9"/>
    </font>
    <font>
      <name val="Arial"/>
      <family val="2"/>
      <color theme="1"/>
      <sz val="9"/>
    </font>
    <font>
      <name val="Arial"/>
      <family val="2"/>
      <b val="1"/>
      <color rgb="FF000000"/>
      <sz val="10"/>
    </font>
    <font>
      <name val="Arial"/>
      <family val="2"/>
      <color rgb="FF000000"/>
      <sz val="10"/>
    </font>
    <font>
      <name val="Tahoma"/>
      <family val="2"/>
      <b val="1"/>
      <color rgb="FF000000"/>
      <sz val="10"/>
    </font>
    <font>
      <name val="Tahoma"/>
      <color theme="1"/>
      <sz val="10"/>
    </font>
    <font>
      <name val="Tahoma"/>
      <color rgb="FF000000"/>
      <sz val="10"/>
    </font>
    <font>
      <name val="Tahoma"/>
      <b val="1"/>
      <color rgb="FF0000FF"/>
      <sz val="10"/>
    </font>
    <font>
      <name val="Tahoma"/>
      <family val="2"/>
      <b val="1"/>
      <color theme="1"/>
      <sz val="14"/>
    </font>
    <font>
      <name val="Tahoma"/>
      <b val="1"/>
      <color rgb="FF000000"/>
      <sz val="10"/>
    </font>
    <font>
      <sz val="9"/>
    </font>
    <font>
      <b val="1"/>
      <sz val="9"/>
    </font>
    <font>
      <i val="1"/>
      <color rgb="00808080"/>
      <sz val="8"/>
    </font>
    <font>
      <b val="1"/>
      <i val="1"/>
      <color rgb="00C00000"/>
      <sz val="9"/>
    </font>
    <font>
      <i val="1"/>
      <sz val="8"/>
    </font>
    <font>
      <b val="1"/>
      <color rgb="00FFFFFF"/>
      <sz val="10"/>
    </font>
    <font>
      <i val="1"/>
      <color rgb="00C00000"/>
      <sz val="8"/>
    </font>
    <font>
      <i val="1"/>
      <sz val="9"/>
    </font>
    <font>
      <b val="1"/>
      <color rgb="00FFFFFF"/>
      <sz val="11"/>
    </font>
    <font>
      <i val="1"/>
      <color rgb="00666666"/>
      <sz val="8"/>
    </font>
  </fonts>
  <fills count="18">
    <fill>
      <patternFill/>
    </fill>
    <fill>
      <patternFill patternType="gray125"/>
    </fill>
    <fill>
      <patternFill patternType="solid">
        <fgColor rgb="FFCCFF33"/>
        <bgColor indexed="64"/>
      </patternFill>
    </fill>
    <fill>
      <patternFill patternType="solid">
        <fgColor rgb="FF00B050"/>
        <bgColor indexed="64"/>
      </patternFill>
    </fill>
    <fill>
      <patternFill patternType="solid">
        <fgColor theme="9" tint="-0.249977111117893"/>
        <bgColor indexed="64"/>
      </patternFill>
    </fill>
    <fill>
      <patternFill patternType="solid">
        <fgColor theme="9" tint="0.3999755851924192"/>
        <bgColor indexed="64"/>
      </patternFill>
    </fill>
    <fill>
      <patternFill patternType="solid">
        <fgColor theme="0" tint="-0.249977111117893"/>
        <bgColor indexed="64"/>
      </patternFill>
    </fill>
    <fill>
      <patternFill patternType="solid">
        <fgColor theme="0"/>
        <bgColor indexed="64"/>
      </patternFill>
    </fill>
    <fill>
      <patternFill patternType="solid">
        <fgColor rgb="FFFFFFFF"/>
        <bgColor indexed="64"/>
      </patternFill>
    </fill>
    <fill>
      <patternFill patternType="solid">
        <fgColor rgb="FF548235"/>
        <bgColor rgb="FF000000"/>
      </patternFill>
    </fill>
    <fill>
      <patternFill patternType="solid">
        <fgColor rgb="FF00B050"/>
        <bgColor rgb="FF000000"/>
      </patternFill>
    </fill>
    <fill>
      <patternFill patternType="solid">
        <fgColor rgb="FFCCFF33"/>
        <bgColor rgb="FF000000"/>
      </patternFill>
    </fill>
    <fill>
      <patternFill patternType="solid">
        <fgColor rgb="00FFFF00"/>
      </patternFill>
    </fill>
    <fill>
      <patternFill patternType="solid">
        <fgColor rgb="00FFF2CC"/>
      </patternFill>
    </fill>
    <fill>
      <patternFill patternType="solid">
        <fgColor rgb="00BDD7EE"/>
      </patternFill>
    </fill>
    <fill>
      <patternFill patternType="solid">
        <fgColor rgb="00FCE4D6"/>
      </patternFill>
    </fill>
    <fill>
      <patternFill patternType="solid">
        <fgColor rgb="00E2EFDA"/>
      </patternFill>
    </fill>
    <fill>
      <patternFill patternType="solid">
        <fgColor rgb="001F4E79"/>
      </patternFill>
    </fill>
  </fills>
  <borders count="2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indexed="64"/>
      </left>
      <right style="thin">
        <color rgb="FF000000"/>
      </right>
      <top/>
      <bottom style="thin">
        <color rgb="FF000000"/>
      </bottom>
      <diagonal/>
    </border>
    <border>
      <left style="thin">
        <color indexed="64"/>
      </left>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4">
    <xf numFmtId="0" fontId="8" fillId="0" borderId="0"/>
    <xf numFmtId="42" fontId="8" fillId="0" borderId="0"/>
    <xf numFmtId="0" fontId="11" fillId="0" borderId="0"/>
    <xf numFmtId="41" fontId="8" fillId="0" borderId="0"/>
  </cellStyleXfs>
  <cellXfs count="261">
    <xf numFmtId="0" fontId="0" fillId="0" borderId="0" pivotButton="0" quotePrefix="0" xfId="0"/>
    <xf numFmtId="0" fontId="1"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1" fillId="0" borderId="0" applyAlignment="1" pivotButton="0" quotePrefix="0" xfId="0">
      <alignment horizontal="right" vertical="center"/>
    </xf>
    <xf numFmtId="0" fontId="2" fillId="0" borderId="1"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right" vertical="center"/>
    </xf>
    <xf numFmtId="0" fontId="3" fillId="0" borderId="0" applyAlignment="1" pivotButton="0" quotePrefix="0" xfId="0">
      <alignment horizontal="center" vertical="center"/>
    </xf>
    <xf numFmtId="0" fontId="1" fillId="0" borderId="0" applyAlignment="1" pivotButton="0" quotePrefix="0" xfId="0">
      <alignment horizontal="left" vertical="center"/>
    </xf>
    <xf numFmtId="0" fontId="2" fillId="0" borderId="1" applyAlignment="1" pivotButton="0" quotePrefix="0" xfId="0">
      <alignment horizontal="left" vertical="center"/>
    </xf>
    <xf numFmtId="0" fontId="2" fillId="0" borderId="0" applyAlignment="1" pivotButton="0" quotePrefix="0" xfId="0">
      <alignment horizontal="left" vertical="center"/>
    </xf>
    <xf numFmtId="164" fontId="2" fillId="0" borderId="0" applyAlignment="1" pivotButton="0" quotePrefix="0" xfId="0">
      <alignment horizontal="center" vertical="center"/>
    </xf>
    <xf numFmtId="4" fontId="2" fillId="0" borderId="0" applyAlignment="1" pivotButton="0" quotePrefix="0" xfId="0">
      <alignment horizontal="center" vertical="center"/>
    </xf>
    <xf numFmtId="0" fontId="1" fillId="0" borderId="0" applyAlignment="1" pivotButton="0" quotePrefix="0" xfId="0">
      <alignment horizontal="center" vertical="center"/>
    </xf>
    <xf numFmtId="0" fontId="5" fillId="0" borderId="0" applyAlignment="1" pivotButton="0" quotePrefix="0" xfId="0">
      <alignment horizontal="center" vertical="center"/>
    </xf>
    <xf numFmtId="0" fontId="1" fillId="0" borderId="1" applyAlignment="1" pivotButton="0" quotePrefix="0" xfId="0">
      <alignment horizontal="left" vertical="center"/>
    </xf>
    <xf numFmtId="164" fontId="1" fillId="0" borderId="0" applyAlignment="1" pivotButton="0" quotePrefix="0" xfId="0">
      <alignment horizontal="center" vertical="center"/>
    </xf>
    <xf numFmtId="0" fontId="1" fillId="0" borderId="2" applyAlignment="1" pivotButton="0" quotePrefix="0" xfId="0">
      <alignment horizontal="center" vertical="center"/>
    </xf>
    <xf numFmtId="165" fontId="2" fillId="0" borderId="2" applyAlignment="1" pivotButton="0" quotePrefix="0" xfId="0">
      <alignment horizontal="center" vertical="center"/>
    </xf>
    <xf numFmtId="0" fontId="2" fillId="0" borderId="2" applyAlignment="1" pivotButton="0" quotePrefix="0" xfId="0">
      <alignment horizontal="center" vertical="center"/>
    </xf>
    <xf numFmtId="164" fontId="2" fillId="0" borderId="2" applyAlignment="1" pivotButton="0" quotePrefix="0" xfId="0">
      <alignment horizontal="center" vertical="center"/>
    </xf>
    <xf numFmtId="0" fontId="2" fillId="0" borderId="2" applyAlignment="1" pivotButton="0" quotePrefix="1" xfId="0">
      <alignment horizontal="center" vertical="center"/>
    </xf>
    <xf numFmtId="0" fontId="2" fillId="0" borderId="2" applyAlignment="1" pivotButton="0" quotePrefix="0" xfId="0">
      <alignment horizontal="left" vertical="center" indent="2"/>
    </xf>
    <xf numFmtId="0" fontId="1" fillId="2" borderId="2" applyAlignment="1" pivotButton="0" quotePrefix="1" xfId="0">
      <alignment horizontal="center" vertical="center"/>
    </xf>
    <xf numFmtId="0" fontId="1" fillId="2" borderId="2" applyAlignment="1" pivotButton="0" quotePrefix="0" xfId="0">
      <alignment horizontal="left" vertical="center" indent="2"/>
    </xf>
    <xf numFmtId="0" fontId="1" fillId="2" borderId="2" applyAlignment="1" pivotButton="0" quotePrefix="0" xfId="0">
      <alignment horizontal="center" vertical="center"/>
    </xf>
    <xf numFmtId="0" fontId="3" fillId="2" borderId="2" applyAlignment="1" pivotButton="0" quotePrefix="0" xfId="0">
      <alignment horizontal="center" vertical="center"/>
    </xf>
    <xf numFmtId="0" fontId="1" fillId="3" borderId="2" applyAlignment="1" pivotButton="0" quotePrefix="1" xfId="0">
      <alignment horizontal="center" vertical="center"/>
    </xf>
    <xf numFmtId="0" fontId="1" fillId="3" borderId="2" applyAlignment="1" pivotButton="0" quotePrefix="0" xfId="0">
      <alignment vertical="center"/>
    </xf>
    <xf numFmtId="0" fontId="1" fillId="3" borderId="2" applyAlignment="1" pivotButton="0" quotePrefix="0" xfId="0">
      <alignment horizontal="center" vertical="center"/>
    </xf>
    <xf numFmtId="0" fontId="3" fillId="3" borderId="2" applyAlignment="1" pivotButton="0" quotePrefix="0" xfId="0">
      <alignment horizontal="center" vertical="center"/>
    </xf>
    <xf numFmtId="165" fontId="2" fillId="3" borderId="2" applyAlignment="1" pivotButton="0" quotePrefix="0" xfId="0">
      <alignment horizontal="center" vertical="center"/>
    </xf>
    <xf numFmtId="0" fontId="1" fillId="3" borderId="2" applyAlignment="1" pivotButton="0" quotePrefix="0" xfId="0">
      <alignment horizontal="left" vertical="center"/>
    </xf>
    <xf numFmtId="0" fontId="1" fillId="0" borderId="2" applyAlignment="1" pivotButton="0" quotePrefix="1" xfId="0">
      <alignment horizontal="center" vertical="center"/>
    </xf>
    <xf numFmtId="0" fontId="1" fillId="0" borderId="2" applyAlignment="1" pivotButton="0" quotePrefix="0" xfId="0">
      <alignment horizontal="left" vertical="center" indent="2"/>
    </xf>
    <xf numFmtId="0" fontId="3" fillId="0" borderId="2" applyAlignment="1" pivotButton="0" quotePrefix="0" xfId="0">
      <alignment horizontal="center" vertical="center"/>
    </xf>
    <xf numFmtId="0" fontId="1" fillId="4" borderId="2" applyAlignment="1" pivotButton="0" quotePrefix="0" xfId="0">
      <alignment horizontal="center" vertical="center"/>
    </xf>
    <xf numFmtId="0" fontId="7" fillId="4" borderId="2" applyAlignment="1" pivotButton="0" quotePrefix="0" xfId="0">
      <alignment horizontal="center" vertical="center"/>
    </xf>
    <xf numFmtId="164" fontId="1" fillId="3" borderId="2" applyAlignment="1" pivotButton="0" quotePrefix="0" xfId="0">
      <alignment horizontal="center" vertical="center"/>
    </xf>
    <xf numFmtId="164" fontId="1" fillId="2" borderId="2" applyAlignment="1" pivotButton="0" quotePrefix="0" xfId="0">
      <alignment horizontal="center" vertical="center"/>
    </xf>
    <xf numFmtId="0" fontId="3" fillId="0" borderId="2" applyAlignment="1" pivotButton="0" quotePrefix="0" xfId="0">
      <alignment vertical="center"/>
    </xf>
    <xf numFmtId="3" fontId="3" fillId="0" borderId="0" applyAlignment="1" pivotButton="0" quotePrefix="0" xfId="0">
      <alignment vertical="center"/>
    </xf>
    <xf numFmtId="0" fontId="2" fillId="0" borderId="2" applyAlignment="1" pivotButton="0" quotePrefix="0" xfId="0">
      <alignment horizontal="left" vertical="center"/>
    </xf>
    <xf numFmtId="0" fontId="2"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left" vertical="center" wrapText="1"/>
    </xf>
    <xf numFmtId="0" fontId="2" fillId="0" borderId="2" applyAlignment="1" pivotButton="0" quotePrefix="0" xfId="0">
      <alignment horizontal="center" vertical="center" wrapText="1"/>
    </xf>
    <xf numFmtId="165" fontId="2" fillId="0" borderId="2" applyAlignment="1" pivotButton="0" quotePrefix="0" xfId="0">
      <alignment horizontal="center" vertical="center" wrapText="1"/>
    </xf>
    <xf numFmtId="0" fontId="1" fillId="2" borderId="2" applyAlignment="1" pivotButton="0" quotePrefix="0" xfId="0">
      <alignment horizontal="left" vertical="center" wrapText="1"/>
    </xf>
    <xf numFmtId="0" fontId="1" fillId="2" borderId="2" applyAlignment="1" pivotButton="0" quotePrefix="0" xfId="0">
      <alignment horizontal="center" vertical="center" wrapText="1"/>
    </xf>
    <xf numFmtId="0" fontId="2" fillId="2" borderId="2" applyAlignment="1" pivotButton="0" quotePrefix="0" xfId="0">
      <alignment horizontal="center" vertical="center" wrapText="1"/>
    </xf>
    <xf numFmtId="0" fontId="1" fillId="0" borderId="0" applyAlignment="1" pivotButton="0" quotePrefix="0" xfId="0">
      <alignment vertical="center" wrapText="1"/>
    </xf>
    <xf numFmtId="0" fontId="9"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1" fillId="6" borderId="2" applyAlignment="1" pivotButton="0" quotePrefix="0" xfId="0">
      <alignment horizontal="left" vertical="center" wrapText="1"/>
    </xf>
    <xf numFmtId="0" fontId="1" fillId="6" borderId="2" applyAlignment="1" pivotButton="0" quotePrefix="0" xfId="0">
      <alignment horizontal="center" vertical="center" wrapText="1"/>
    </xf>
    <xf numFmtId="165" fontId="2" fillId="6" borderId="2" applyAlignment="1" pivotButton="0" quotePrefix="0" xfId="0">
      <alignment horizontal="center" vertical="center" wrapText="1"/>
    </xf>
    <xf numFmtId="164" fontId="2" fillId="0" borderId="2" applyAlignment="1" pivotButton="0" quotePrefix="0" xfId="0">
      <alignment horizontal="left" vertical="center"/>
    </xf>
    <xf numFmtId="0" fontId="9" fillId="0" borderId="0" applyAlignment="1" pivotButton="0" quotePrefix="0" xfId="0">
      <alignment horizontal="left" vertical="center" wrapText="1"/>
    </xf>
    <xf numFmtId="0" fontId="2" fillId="0" borderId="0" applyAlignment="1" pivotButton="0" quotePrefix="0" xfId="0">
      <alignment vertical="center" wrapText="1"/>
    </xf>
    <xf numFmtId="0" fontId="2" fillId="0" borderId="2" applyAlignment="1" pivotButton="0" quotePrefix="0" xfId="0">
      <alignment vertical="center" wrapText="1"/>
    </xf>
    <xf numFmtId="0" fontId="12" fillId="6" borderId="2" applyAlignment="1" pivotButton="0" quotePrefix="0" xfId="0">
      <alignment vertical="center" wrapText="1"/>
    </xf>
    <xf numFmtId="0" fontId="12" fillId="6" borderId="2" applyAlignment="1" pivotButton="0" quotePrefix="0" xfId="0">
      <alignment horizontal="left" vertical="center" wrapText="1"/>
    </xf>
    <xf numFmtId="0" fontId="2" fillId="0" borderId="0" applyAlignment="1" pivotButton="0" quotePrefix="0" xfId="0">
      <alignment vertical="center"/>
    </xf>
    <xf numFmtId="0" fontId="2" fillId="2" borderId="2" applyAlignment="1" pivotButton="0" quotePrefix="0" xfId="0">
      <alignment vertical="center" wrapText="1"/>
    </xf>
    <xf numFmtId="0" fontId="2" fillId="2" borderId="2" applyAlignment="1" pivotButton="0" quotePrefix="0" xfId="0">
      <alignment horizontal="left" vertical="center" wrapText="1"/>
    </xf>
    <xf numFmtId="0" fontId="2" fillId="6" borderId="2" applyAlignment="1" pivotButton="0" quotePrefix="0" xfId="0">
      <alignment vertical="center" wrapText="1"/>
    </xf>
    <xf numFmtId="0" fontId="2" fillId="6" borderId="2" applyAlignment="1" pivotButton="0" quotePrefix="0" xfId="0">
      <alignment horizontal="left" vertical="center" wrapText="1"/>
    </xf>
    <xf numFmtId="0" fontId="13" fillId="0" borderId="0" applyAlignment="1" pivotButton="0" quotePrefix="0" xfId="0">
      <alignment vertical="center" wrapText="1"/>
    </xf>
    <xf numFmtId="0" fontId="13" fillId="0" borderId="2" applyAlignment="1" pivotButton="0" quotePrefix="0" xfId="0">
      <alignment horizontal="left" vertical="center" wrapText="1"/>
    </xf>
    <xf numFmtId="0" fontId="13" fillId="0" borderId="2" applyAlignment="1" pivotButton="0" quotePrefix="0" xfId="0">
      <alignment horizontal="center" vertical="center" wrapText="1"/>
    </xf>
    <xf numFmtId="0" fontId="2" fillId="7" borderId="2" applyAlignment="1" pivotButton="0" quotePrefix="0" xfId="0">
      <alignment horizontal="left" vertical="center" wrapText="1"/>
    </xf>
    <xf numFmtId="0" fontId="13" fillId="0" borderId="2" applyAlignment="1" pivotButton="0" quotePrefix="0" xfId="0">
      <alignment vertical="center" wrapText="1"/>
    </xf>
    <xf numFmtId="0" fontId="2" fillId="0" borderId="2" applyAlignment="1" pivotButton="0" quotePrefix="1" xfId="0">
      <alignment vertical="center" wrapText="1"/>
    </xf>
    <xf numFmtId="165" fontId="13" fillId="0" borderId="2" applyAlignment="1" pivotButton="0" quotePrefix="0" xfId="0">
      <alignment horizontal="center" vertical="center" wrapText="1"/>
    </xf>
    <xf numFmtId="0" fontId="1" fillId="5" borderId="2" applyAlignment="1" pivotButton="0" quotePrefix="0" xfId="0">
      <alignment horizontal="center" vertical="center" wrapText="1"/>
    </xf>
    <xf numFmtId="165" fontId="2" fillId="2" borderId="2" applyAlignment="1" pivotButton="0" quotePrefix="0" xfId="0">
      <alignment horizontal="center" vertical="center" wrapText="1"/>
    </xf>
    <xf numFmtId="0" fontId="12" fillId="2" borderId="2" applyAlignment="1" pivotButton="0" quotePrefix="0" xfId="0">
      <alignment vertical="center" wrapText="1"/>
    </xf>
    <xf numFmtId="0" fontId="12" fillId="2" borderId="2" applyAlignment="1" pivotButton="0" quotePrefix="0" xfId="0">
      <alignment horizontal="left" vertical="center" wrapText="1"/>
    </xf>
    <xf numFmtId="0" fontId="9" fillId="2" borderId="2" applyAlignment="1" pivotButton="0" quotePrefix="0" xfId="0">
      <alignment horizontal="left" vertical="center" wrapText="1"/>
    </xf>
    <xf numFmtId="0" fontId="9" fillId="2" borderId="2" applyAlignment="1" pivotButton="0" quotePrefix="0" xfId="0">
      <alignment horizontal="center" vertical="center" wrapText="1"/>
    </xf>
    <xf numFmtId="165" fontId="13" fillId="2" borderId="2" applyAlignment="1" pivotButton="0" quotePrefix="0" xfId="0">
      <alignment horizontal="center" vertical="center" wrapText="1"/>
    </xf>
    <xf numFmtId="0" fontId="13" fillId="2" borderId="2" applyAlignment="1" pivotButton="0" quotePrefix="0" xfId="0">
      <alignment vertical="center" wrapText="1"/>
    </xf>
    <xf numFmtId="0" fontId="13" fillId="2" borderId="2" applyAlignment="1" pivotButton="0" quotePrefix="0" xfId="0">
      <alignment horizontal="left" vertical="center" wrapText="1"/>
    </xf>
    <xf numFmtId="0" fontId="2" fillId="0" borderId="2" applyAlignment="1" pivotButton="0" quotePrefix="1" xfId="0">
      <alignment horizontal="left" vertical="center" wrapText="1"/>
    </xf>
    <xf numFmtId="0" fontId="14" fillId="0" borderId="0" applyAlignment="1" pivotButton="0" quotePrefix="0" xfId="0">
      <alignment vertical="center" wrapText="1"/>
    </xf>
    <xf numFmtId="0" fontId="2" fillId="0" borderId="7" applyAlignment="1" pivotButton="0" quotePrefix="0" xfId="0">
      <alignment horizontal="left" vertical="center" wrapText="1"/>
    </xf>
    <xf numFmtId="0" fontId="12" fillId="2" borderId="5" applyAlignment="1" pivotButton="0" quotePrefix="0" xfId="0">
      <alignment horizontal="left" vertical="center" wrapText="1"/>
    </xf>
    <xf numFmtId="0" fontId="2" fillId="0" borderId="4" applyAlignment="1" pivotButton="0" quotePrefix="1" xfId="0">
      <alignment vertical="center" wrapText="1"/>
    </xf>
    <xf numFmtId="166" fontId="2" fillId="0" borderId="0" applyAlignment="1" pivotButton="0" quotePrefix="0" xfId="1">
      <alignment vertical="center" wrapText="1"/>
    </xf>
    <xf numFmtId="165" fontId="2" fillId="0" borderId="0" applyAlignment="1" pivotButton="0" quotePrefix="0" xfId="0">
      <alignment vertical="center" wrapText="1"/>
    </xf>
    <xf numFmtId="0" fontId="17" fillId="2" borderId="2" applyAlignment="1" pivotButton="0" quotePrefix="1" xfId="0">
      <alignment horizontal="center" vertical="center"/>
    </xf>
    <xf numFmtId="0" fontId="17" fillId="2" borderId="2" applyAlignment="1" pivotButton="0" quotePrefix="0" xfId="0">
      <alignment horizontal="center" vertical="center"/>
    </xf>
    <xf numFmtId="0" fontId="18" fillId="2" borderId="2" applyAlignment="1" pivotButton="0" quotePrefix="0" xfId="0">
      <alignment horizontal="center" vertical="center"/>
    </xf>
    <xf numFmtId="164" fontId="17" fillId="2" borderId="2" applyAlignment="1" pivotButton="0" quotePrefix="0" xfId="0">
      <alignment horizontal="center" vertical="center"/>
    </xf>
    <xf numFmtId="0" fontId="18" fillId="0" borderId="2" applyAlignment="1" pivotButton="0" quotePrefix="1" xfId="0">
      <alignment horizontal="center" vertical="center"/>
    </xf>
    <xf numFmtId="0" fontId="18" fillId="0" borderId="2" applyAlignment="1" pivotButton="0" quotePrefix="0" xfId="0">
      <alignment horizontal="center" vertical="center"/>
    </xf>
    <xf numFmtId="165" fontId="18" fillId="0" borderId="2" applyAlignment="1" pivotButton="0" quotePrefix="0" xfId="0">
      <alignment horizontal="center" vertical="center"/>
    </xf>
    <xf numFmtId="9" fontId="3" fillId="0" borderId="0" applyAlignment="1" pivotButton="0" quotePrefix="0" xfId="0">
      <alignment vertical="center"/>
    </xf>
    <xf numFmtId="0" fontId="2" fillId="0" borderId="3" applyAlignment="1" pivotButton="0" quotePrefix="0" xfId="0">
      <alignment horizontal="left" vertical="center" wrapText="1"/>
    </xf>
    <xf numFmtId="0" fontId="2" fillId="0" borderId="3" applyAlignment="1" pivotButton="0" quotePrefix="1" xfId="0">
      <alignment horizontal="left" vertical="center" wrapText="1"/>
    </xf>
    <xf numFmtId="167" fontId="1" fillId="5" borderId="2" applyAlignment="1" pivotButton="0" quotePrefix="0" xfId="3">
      <alignment horizontal="center" vertical="center" wrapText="1"/>
    </xf>
    <xf numFmtId="167" fontId="1" fillId="5" borderId="2" applyAlignment="1" pivotButton="0" quotePrefix="0" xfId="3">
      <alignment horizontal="right" vertical="center" wrapText="1"/>
    </xf>
    <xf numFmtId="167" fontId="2" fillId="2" borderId="2" applyAlignment="1" pivotButton="0" quotePrefix="0" xfId="3">
      <alignment horizontal="center" vertical="center" wrapText="1"/>
    </xf>
    <xf numFmtId="167" fontId="1" fillId="2" borderId="2" applyAlignment="1" pivotButton="0" quotePrefix="0" xfId="3">
      <alignment horizontal="right" vertical="center" wrapText="1"/>
    </xf>
    <xf numFmtId="167" fontId="2" fillId="0" borderId="2" applyAlignment="1" pivotButton="0" quotePrefix="0" xfId="3">
      <alignment horizontal="center" vertical="center" wrapText="1"/>
    </xf>
    <xf numFmtId="167" fontId="2" fillId="0" borderId="2" applyAlignment="1" pivotButton="0" quotePrefix="0" xfId="3">
      <alignment horizontal="right" vertical="center" wrapText="1"/>
    </xf>
    <xf numFmtId="167" fontId="13" fillId="2" borderId="2" applyAlignment="1" pivotButton="0" quotePrefix="0" xfId="3">
      <alignment horizontal="center" vertical="center" wrapText="1"/>
    </xf>
    <xf numFmtId="167" fontId="9" fillId="2" borderId="2" applyAlignment="1" pivotButton="0" quotePrefix="0" xfId="3">
      <alignment horizontal="right" vertical="center" wrapText="1"/>
    </xf>
    <xf numFmtId="167" fontId="13" fillId="0" borderId="2" applyAlignment="1" pivotButton="0" quotePrefix="0" xfId="3">
      <alignment horizontal="center" vertical="center" wrapText="1"/>
    </xf>
    <xf numFmtId="167" fontId="13" fillId="0" borderId="2" applyAlignment="1" pivotButton="0" quotePrefix="0" xfId="3">
      <alignment vertical="center" wrapText="1"/>
    </xf>
    <xf numFmtId="167" fontId="13" fillId="0" borderId="2" applyAlignment="1" pivotButton="0" quotePrefix="0" xfId="3">
      <alignment horizontal="right" vertical="center" wrapText="1"/>
    </xf>
    <xf numFmtId="167" fontId="2" fillId="0" borderId="2" applyAlignment="1" pivotButton="0" quotePrefix="0" xfId="3">
      <alignment horizontal="center" vertical="center"/>
    </xf>
    <xf numFmtId="167" fontId="2" fillId="6" borderId="2" applyAlignment="1" pivotButton="0" quotePrefix="0" xfId="3">
      <alignment horizontal="center" vertical="center" wrapText="1"/>
    </xf>
    <xf numFmtId="167" fontId="1" fillId="6" borderId="2" applyAlignment="1" pivotButton="0" quotePrefix="0" xfId="3">
      <alignment horizontal="right" vertical="center" wrapText="1"/>
    </xf>
    <xf numFmtId="167" fontId="2" fillId="0" borderId="2" applyAlignment="1" pivotButton="0" quotePrefix="0" xfId="3">
      <alignment horizontal="right" vertical="center"/>
    </xf>
    <xf numFmtId="167" fontId="2" fillId="0" borderId="0" applyAlignment="1" pivotButton="0" quotePrefix="0" xfId="3">
      <alignment horizontal="center" vertical="center" wrapText="1"/>
    </xf>
    <xf numFmtId="167" fontId="2" fillId="0" borderId="0" applyAlignment="1" pivotButton="0" quotePrefix="0" xfId="3">
      <alignment horizontal="right" vertical="center" wrapText="1"/>
    </xf>
    <xf numFmtId="167" fontId="1" fillId="0" borderId="0" applyAlignment="1" pivotButton="0" quotePrefix="0" xfId="3">
      <alignment horizontal="center" vertical="center" wrapText="1"/>
    </xf>
    <xf numFmtId="167" fontId="1" fillId="0" borderId="0" applyAlignment="1" pivotButton="0" quotePrefix="0" xfId="3">
      <alignment horizontal="center" vertical="center"/>
    </xf>
    <xf numFmtId="167" fontId="3" fillId="0" borderId="0" applyAlignment="1" pivotButton="0" quotePrefix="0" xfId="3">
      <alignment horizontal="center" vertical="center"/>
    </xf>
    <xf numFmtId="167" fontId="2" fillId="0" borderId="1" applyAlignment="1" pivotButton="0" quotePrefix="0" xfId="3">
      <alignment horizontal="center" vertical="center"/>
    </xf>
    <xf numFmtId="167" fontId="2" fillId="0" borderId="0" applyAlignment="1" pivotButton="0" quotePrefix="0" xfId="3">
      <alignment horizontal="center" vertical="center"/>
    </xf>
    <xf numFmtId="167" fontId="1" fillId="0" borderId="1" applyAlignment="1" pivotButton="0" quotePrefix="0" xfId="3">
      <alignment horizontal="center" vertical="center"/>
    </xf>
    <xf numFmtId="164" fontId="2" fillId="0" borderId="2" applyAlignment="1" pivotButton="0" quotePrefix="0" xfId="0">
      <alignment horizontal="center" vertical="top" wrapText="1"/>
    </xf>
    <xf numFmtId="0" fontId="10" fillId="0" borderId="2" applyAlignment="1" pivotButton="0" quotePrefix="0" xfId="0">
      <alignment horizontal="center" vertical="top"/>
    </xf>
    <xf numFmtId="164" fontId="18" fillId="0" borderId="2" applyAlignment="1" pivotButton="0" quotePrefix="0" xfId="0">
      <alignment horizontal="center" vertical="center" wrapText="1"/>
    </xf>
    <xf numFmtId="0" fontId="19" fillId="9" borderId="2" applyAlignment="1" pivotButton="0" quotePrefix="0" xfId="0">
      <alignment horizontal="center" vertical="center"/>
    </xf>
    <xf numFmtId="0" fontId="19" fillId="10" borderId="2" applyAlignment="1" pivotButton="0" quotePrefix="0" xfId="0">
      <alignment horizontal="center" vertical="center"/>
    </xf>
    <xf numFmtId="0" fontId="19" fillId="11" borderId="5" applyAlignment="1" pivotButton="0" quotePrefix="0" xfId="0">
      <alignment horizontal="center" vertical="center"/>
    </xf>
    <xf numFmtId="0" fontId="20" fillId="0" borderId="3" applyAlignment="1" pivotButton="0" quotePrefix="0" xfId="0">
      <alignment horizontal="left" vertical="center" wrapText="1"/>
    </xf>
    <xf numFmtId="0" fontId="15" fillId="0" borderId="2" applyAlignment="1" pivotButton="0" quotePrefix="0" xfId="0">
      <alignment horizontal="center" vertical="center"/>
    </xf>
    <xf numFmtId="0" fontId="21" fillId="11" borderId="2" applyAlignment="1" pivotButton="0" quotePrefix="0" xfId="0">
      <alignment horizontal="center" vertical="center"/>
    </xf>
    <xf numFmtId="0" fontId="15" fillId="0" borderId="4" applyAlignment="1" pivotButton="0" quotePrefix="0" xfId="0">
      <alignment horizontal="center" vertical="top" wrapText="1"/>
    </xf>
    <xf numFmtId="0" fontId="20" fillId="0" borderId="6" applyAlignment="1" pivotButton="0" quotePrefix="0" xfId="0">
      <alignment horizontal="left" vertical="center" wrapText="1"/>
    </xf>
    <xf numFmtId="0" fontId="20" fillId="0" borderId="4" applyAlignment="1" pivotButton="0" quotePrefix="0" xfId="0">
      <alignment horizontal="left" vertical="center" wrapText="1"/>
    </xf>
    <xf numFmtId="0" fontId="21" fillId="10" borderId="2" applyAlignment="1" pivotButton="0" quotePrefix="0" xfId="0">
      <alignment horizontal="center" vertical="center"/>
    </xf>
    <xf numFmtId="164" fontId="2" fillId="0" borderId="2" applyAlignment="1" pivotButton="0" quotePrefix="0" xfId="0">
      <alignment horizontal="center" vertical="center" wrapText="1"/>
    </xf>
    <xf numFmtId="0" fontId="20" fillId="0" borderId="2" applyAlignment="1" pivotButton="0" quotePrefix="0" xfId="0">
      <alignment horizontal="left" vertical="center" wrapText="1"/>
    </xf>
    <xf numFmtId="0" fontId="15" fillId="0" borderId="2" applyAlignment="1" pivotButton="0" quotePrefix="0" xfId="0">
      <alignment horizontal="left" vertical="center" wrapText="1" indent="2"/>
    </xf>
    <xf numFmtId="0" fontId="22" fillId="0" borderId="2" applyAlignment="1" pivotButton="0" quotePrefix="0" xfId="0">
      <alignment horizontal="center" vertical="center" wrapText="1"/>
    </xf>
    <xf numFmtId="0" fontId="22" fillId="0" borderId="2" applyAlignment="1" pivotButton="0" quotePrefix="0" xfId="0">
      <alignment horizontal="left" vertical="center" wrapText="1"/>
    </xf>
    <xf numFmtId="165" fontId="22" fillId="0" borderId="2" applyAlignment="1" pivotButton="0" quotePrefix="0" xfId="0">
      <alignment horizontal="center" vertical="center" wrapText="1"/>
    </xf>
    <xf numFmtId="167" fontId="22" fillId="0" borderId="2" applyAlignment="1" pivotButton="0" quotePrefix="0" xfId="3">
      <alignment horizontal="center" vertical="center" wrapText="1"/>
    </xf>
    <xf numFmtId="167" fontId="22" fillId="0" borderId="2" applyAlignment="1" pivotButton="0" quotePrefix="0" xfId="3">
      <alignment horizontal="right" vertical="center" wrapText="1"/>
    </xf>
    <xf numFmtId="0" fontId="22" fillId="0" borderId="0" applyAlignment="1" pivotButton="0" quotePrefix="0" xfId="0">
      <alignment vertical="center" wrapText="1"/>
    </xf>
    <xf numFmtId="0" fontId="22" fillId="0" borderId="2" applyAlignment="1" pivotButton="0" quotePrefix="1" xfId="0">
      <alignment horizontal="left" vertical="center" wrapText="1"/>
    </xf>
    <xf numFmtId="0" fontId="23" fillId="0" borderId="2" applyAlignment="1" pivotButton="0" quotePrefix="0" xfId="0">
      <alignment horizontal="left" vertical="center" wrapText="1" indent="2"/>
    </xf>
    <xf numFmtId="2" fontId="2" fillId="0" borderId="2" applyAlignment="1" pivotButton="0" quotePrefix="0" xfId="0">
      <alignment horizontal="center" vertical="center" wrapText="1"/>
    </xf>
    <xf numFmtId="0" fontId="2" fillId="0" borderId="5" applyAlignment="1" pivotButton="0" quotePrefix="1" xfId="0">
      <alignment horizontal="left" vertical="center" wrapText="1"/>
    </xf>
    <xf numFmtId="0" fontId="23" fillId="0" borderId="3" applyAlignment="1" pivotButton="0" quotePrefix="0" xfId="0">
      <alignment horizontal="left" vertical="center" wrapText="1"/>
    </xf>
    <xf numFmtId="0" fontId="1" fillId="2" borderId="2" applyAlignment="1" pivotButton="0" quotePrefix="0" xfId="0">
      <alignment horizontal="left" vertical="center" wrapText="1" indent="2"/>
    </xf>
    <xf numFmtId="164" fontId="2" fillId="0" borderId="7" applyAlignment="1" pivotButton="0" quotePrefix="0" xfId="0">
      <alignment horizontal="center" vertical="center" wrapText="1"/>
    </xf>
    <xf numFmtId="0" fontId="21" fillId="11" borderId="5" applyAlignment="1" pivotButton="0" quotePrefix="0" xfId="0">
      <alignment horizontal="center" vertical="center"/>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25" fillId="0" borderId="0" applyAlignment="1" pivotButton="0" quotePrefix="0" xfId="0">
      <alignment horizontal="center" vertical="center"/>
    </xf>
    <xf numFmtId="164" fontId="22" fillId="0" borderId="5" applyAlignment="1" pivotButton="0" quotePrefix="1" xfId="0">
      <alignment horizontal="left" vertical="center" wrapText="1"/>
    </xf>
    <xf numFmtId="164" fontId="22" fillId="0" borderId="6" applyAlignment="1" pivotButton="0" quotePrefix="0" xfId="0">
      <alignment horizontal="left" vertical="center" wrapText="1"/>
    </xf>
    <xf numFmtId="164" fontId="22" fillId="0" borderId="4" applyAlignment="1" pivotButton="0" quotePrefix="0" xfId="0">
      <alignment horizontal="left" vertical="center" wrapText="1"/>
    </xf>
    <xf numFmtId="0" fontId="2" fillId="0" borderId="5" applyAlignment="1" pivotButton="0" quotePrefix="1" xfId="0">
      <alignment horizontal="left" vertical="center" wrapText="1"/>
    </xf>
    <xf numFmtId="0" fontId="2" fillId="0" borderId="6" applyAlignment="1" pivotButton="0" quotePrefix="1" xfId="0">
      <alignment horizontal="left" vertical="center" wrapText="1"/>
    </xf>
    <xf numFmtId="0" fontId="2" fillId="0" borderId="4" applyAlignment="1" pivotButton="0" quotePrefix="1" xfId="0">
      <alignment horizontal="left" vertical="center" wrapText="1"/>
    </xf>
    <xf numFmtId="0" fontId="15" fillId="8" borderId="3" applyAlignment="1" pivotButton="0" quotePrefix="1" xfId="0">
      <alignment horizontal="left" vertical="center" wrapText="1"/>
    </xf>
    <xf numFmtId="0" fontId="16" fillId="8" borderId="3" applyAlignment="1" pivotButton="0" quotePrefix="0" xfId="0">
      <alignment horizontal="left" vertical="center" wrapText="1"/>
    </xf>
    <xf numFmtId="0" fontId="16" fillId="0" borderId="2" applyAlignment="1" pivotButton="0" quotePrefix="1" xfId="0">
      <alignment horizontal="left" vertical="center" wrapText="1"/>
    </xf>
    <xf numFmtId="0" fontId="2" fillId="0" borderId="2" applyAlignment="1" pivotButton="0" quotePrefix="1" xfId="0">
      <alignment horizontal="left" vertical="center" wrapText="1"/>
    </xf>
    <xf numFmtId="0" fontId="16" fillId="0" borderId="5" applyAlignment="1" pivotButton="0" quotePrefix="1" xfId="0">
      <alignment horizontal="left" vertical="center" wrapText="1"/>
    </xf>
    <xf numFmtId="0" fontId="16" fillId="0" borderId="6" applyAlignment="1" pivotButton="0" quotePrefix="1" xfId="0">
      <alignment horizontal="left" vertical="center" wrapText="1"/>
    </xf>
    <xf numFmtId="0" fontId="16" fillId="0" borderId="4" applyAlignment="1" pivotButton="0" quotePrefix="1" xfId="0">
      <alignment horizontal="left" vertical="center" wrapText="1"/>
    </xf>
    <xf numFmtId="0" fontId="2"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13" fillId="0" borderId="6" applyAlignment="1" pivotButton="0" quotePrefix="1" xfId="0">
      <alignment horizontal="left" vertical="center" wrapText="1"/>
    </xf>
    <xf numFmtId="0" fontId="2" fillId="0" borderId="6" applyAlignment="1" pivotButton="0" quotePrefix="0" xfId="0">
      <alignment horizontal="left" vertical="center" wrapText="1"/>
    </xf>
    <xf numFmtId="0" fontId="2" fillId="0" borderId="4" applyAlignment="1" pivotButton="0" quotePrefix="0" xfId="0">
      <alignment horizontal="left" vertical="center" wrapText="1"/>
    </xf>
    <xf numFmtId="0" fontId="20" fillId="0" borderId="8" applyAlignment="1" pivotButton="0" quotePrefix="0" xfId="0">
      <alignment horizontal="left" vertical="center" wrapText="1"/>
    </xf>
    <xf numFmtId="0" fontId="20" fillId="0" borderId="10" applyAlignment="1" pivotButton="0" quotePrefix="0" xfId="0">
      <alignment horizontal="left" vertical="center" wrapText="1"/>
    </xf>
    <xf numFmtId="0" fontId="20" fillId="0" borderId="9" applyAlignment="1" pivotButton="0" quotePrefix="0" xfId="0">
      <alignment horizontal="left" vertical="center" wrapText="1"/>
    </xf>
    <xf numFmtId="0" fontId="20" fillId="0" borderId="11" applyAlignment="1" pivotButton="0" quotePrefix="0" xfId="0">
      <alignment horizontal="left" vertical="center" wrapText="1"/>
    </xf>
    <xf numFmtId="0" fontId="20" fillId="0" borderId="5" applyAlignment="1" pivotButton="0" quotePrefix="0" xfId="0">
      <alignment horizontal="left" vertical="center" wrapText="1"/>
    </xf>
    <xf numFmtId="0" fontId="20" fillId="0" borderId="6" applyAlignment="1" pivotButton="0" quotePrefix="0" xfId="0">
      <alignment horizontal="left" vertical="center" wrapText="1"/>
    </xf>
    <xf numFmtId="167" fontId="1" fillId="0" borderId="0" applyAlignment="1" pivotButton="0" quotePrefix="0" xfId="3">
      <alignment horizontal="center" vertical="center"/>
    </xf>
    <xf numFmtId="167" fontId="3" fillId="0" borderId="0" applyAlignment="1" pivotButton="0" quotePrefix="0" xfId="3">
      <alignment horizontal="center" vertical="center"/>
    </xf>
    <xf numFmtId="167" fontId="2" fillId="0" borderId="1" applyAlignment="1" pivotButton="0" quotePrefix="0" xfId="3">
      <alignment horizontal="center" vertical="center"/>
    </xf>
    <xf numFmtId="167" fontId="2" fillId="0" borderId="0" applyAlignment="1" pivotButton="0" quotePrefix="0" xfId="3">
      <alignment horizontal="center" vertical="center"/>
    </xf>
    <xf numFmtId="167" fontId="1" fillId="0" borderId="1" applyAlignment="1" pivotButton="0" quotePrefix="0" xfId="3">
      <alignment horizontal="center" vertical="center"/>
    </xf>
    <xf numFmtId="0" fontId="31" fillId="16" borderId="0" pivotButton="0" quotePrefix="0" xfId="0"/>
    <xf numFmtId="0" fontId="31" fillId="15" borderId="0" pivotButton="0" quotePrefix="0" xfId="0"/>
    <xf numFmtId="0" fontId="31" fillId="12" borderId="0" pivotButton="0" quotePrefix="0" xfId="0"/>
    <xf numFmtId="167" fontId="2" fillId="0" borderId="0" applyAlignment="1" pivotButton="0" quotePrefix="0" xfId="3">
      <alignment horizontal="center" vertical="center" wrapText="1"/>
    </xf>
    <xf numFmtId="167" fontId="2" fillId="0" borderId="0" applyAlignment="1" pivotButton="0" quotePrefix="0" xfId="3">
      <alignment horizontal="right" vertical="center" wrapText="1"/>
    </xf>
    <xf numFmtId="0" fontId="0" fillId="0" borderId="0" applyAlignment="1" pivotButton="0" quotePrefix="0" xfId="0">
      <alignment vertical="top" wrapText="1"/>
    </xf>
    <xf numFmtId="0" fontId="27" fillId="12" borderId="0" pivotButton="0" quotePrefix="0" xfId="0"/>
    <xf numFmtId="0" fontId="1" fillId="5" borderId="2" applyAlignment="1" pivotButton="0" quotePrefix="0" xfId="0">
      <alignment vertical="top" wrapText="1"/>
    </xf>
    <xf numFmtId="0" fontId="27" fillId="13" borderId="2" applyAlignment="1" pivotButton="0" quotePrefix="0" xfId="0">
      <alignment horizontal="center" vertical="center" wrapText="1"/>
    </xf>
    <xf numFmtId="167" fontId="27" fillId="12" borderId="2" applyAlignment="1" pivotButton="0" quotePrefix="0" xfId="3">
      <alignment horizontal="center" vertical="center" wrapText="1"/>
    </xf>
    <xf numFmtId="4" fontId="1" fillId="5" borderId="2" applyAlignment="1" pivotButton="0" quotePrefix="0" xfId="3">
      <alignment horizontal="right" vertical="center" wrapText="1"/>
    </xf>
    <xf numFmtId="0" fontId="28" fillId="14" borderId="2" applyAlignment="1" pivotButton="0" quotePrefix="0" xfId="0">
      <alignment horizontal="left" vertical="center" wrapText="1"/>
    </xf>
    <xf numFmtId="167" fontId="2" fillId="2" borderId="2" applyAlignment="1" pivotButton="0" quotePrefix="0" xfId="3">
      <alignment horizontal="center" vertical="center" wrapText="1"/>
    </xf>
    <xf numFmtId="167" fontId="28" fillId="14" borderId="2" applyAlignment="1" pivotButton="0" quotePrefix="0" xfId="3">
      <alignment horizontal="right" vertical="center" wrapText="1"/>
    </xf>
    <xf numFmtId="0" fontId="28" fillId="14" borderId="2" applyAlignment="1" pivotButton="0" quotePrefix="0" xfId="0">
      <alignment vertical="center" wrapText="1"/>
    </xf>
    <xf numFmtId="0" fontId="23" fillId="0" borderId="3" applyAlignment="1" pivotButton="0" quotePrefix="0" xfId="0">
      <alignment vertical="top" wrapText="1"/>
    </xf>
    <xf numFmtId="165" fontId="27" fillId="13" borderId="2" applyAlignment="1" pivotButton="0" quotePrefix="0" xfId="0">
      <alignment horizontal="center" vertical="center" wrapText="1"/>
    </xf>
    <xf numFmtId="4" fontId="2" fillId="0" borderId="2" applyAlignment="1" pivotButton="0" quotePrefix="0" xfId="3">
      <alignment horizontal="right" vertical="center" wrapText="1"/>
    </xf>
    <xf numFmtId="0" fontId="2" fillId="0" borderId="3" applyAlignment="1" pivotButton="0" quotePrefix="0" xfId="0">
      <alignment vertical="top" wrapText="1"/>
    </xf>
    <xf numFmtId="0" fontId="0" fillId="0" borderId="6" pivotButton="0" quotePrefix="0" xfId="0"/>
    <xf numFmtId="0" fontId="0" fillId="0" borderId="4" pivotButton="0" quotePrefix="0" xfId="0"/>
    <xf numFmtId="167" fontId="2" fillId="0" borderId="2" applyAlignment="1" pivotButton="0" quotePrefix="0" xfId="3">
      <alignment horizontal="center" vertical="center" wrapText="1"/>
    </xf>
    <xf numFmtId="167" fontId="2" fillId="0" borderId="2" applyAlignment="1" pivotButton="0" quotePrefix="0" xfId="3">
      <alignment horizontal="right" vertical="center" wrapText="1"/>
    </xf>
    <xf numFmtId="167" fontId="13" fillId="2" borderId="2" applyAlignment="1" pivotButton="0" quotePrefix="0" xfId="3">
      <alignment horizontal="center" vertical="center" wrapText="1"/>
    </xf>
    <xf numFmtId="0" fontId="13" fillId="0" borderId="2" applyAlignment="1" pivotButton="0" quotePrefix="0" xfId="0">
      <alignment vertical="top" wrapText="1"/>
    </xf>
    <xf numFmtId="167" fontId="27" fillId="12" borderId="2" applyAlignment="1" pivotButton="0" quotePrefix="0" xfId="3">
      <alignment vertical="center" wrapText="1"/>
    </xf>
    <xf numFmtId="0" fontId="2" fillId="0" borderId="2" applyAlignment="1" pivotButton="0" quotePrefix="0" xfId="0">
      <alignment vertical="top" wrapText="1"/>
    </xf>
    <xf numFmtId="167" fontId="13" fillId="0" borderId="2" applyAlignment="1" pivotButton="0" quotePrefix="0" xfId="3">
      <alignment horizontal="center" vertical="center" wrapText="1"/>
    </xf>
    <xf numFmtId="167" fontId="13" fillId="0" borderId="2" applyAlignment="1" pivotButton="0" quotePrefix="0" xfId="3">
      <alignment horizontal="right" vertical="center" wrapText="1"/>
    </xf>
    <xf numFmtId="167" fontId="27" fillId="12" borderId="2" applyAlignment="1" pivotButton="0" quotePrefix="0" xfId="3">
      <alignment horizontal="center" vertical="center"/>
    </xf>
    <xf numFmtId="167" fontId="2" fillId="0" borderId="2" applyAlignment="1" pivotButton="0" quotePrefix="0" xfId="3">
      <alignment horizontal="center" vertical="center"/>
    </xf>
    <xf numFmtId="0" fontId="1" fillId="6" borderId="2" applyAlignment="1" pivotButton="0" quotePrefix="0" xfId="0">
      <alignment vertical="top" wrapText="1"/>
    </xf>
    <xf numFmtId="167" fontId="1" fillId="6" borderId="2" applyAlignment="1" pivotButton="0" quotePrefix="0" xfId="3">
      <alignment horizontal="right" vertical="center" wrapText="1"/>
    </xf>
    <xf numFmtId="4" fontId="27" fillId="16" borderId="2" applyAlignment="1" pivotButton="0" quotePrefix="0" xfId="0">
      <alignment horizontal="center" vertical="center" wrapText="1"/>
    </xf>
    <xf numFmtId="168" fontId="27" fillId="15" borderId="2" applyAlignment="1" pivotButton="0" quotePrefix="0" xfId="3">
      <alignment horizontal="center" vertical="center" wrapText="1"/>
    </xf>
    <xf numFmtId="0" fontId="2" fillId="7" borderId="2" applyAlignment="1" pivotButton="0" quotePrefix="0" xfId="0">
      <alignment vertical="top" wrapText="1"/>
    </xf>
    <xf numFmtId="2" fontId="27" fillId="13" borderId="2" applyAlignment="1" pivotButton="0" quotePrefix="0" xfId="0">
      <alignment horizontal="center" vertical="center" wrapText="1"/>
    </xf>
    <xf numFmtId="166" fontId="2" fillId="0" borderId="0" applyAlignment="1" pivotButton="0" quotePrefix="0" xfId="1">
      <alignment vertical="center" wrapText="1"/>
    </xf>
    <xf numFmtId="167" fontId="22" fillId="0" borderId="2" applyAlignment="1" pivotButton="0" quotePrefix="0" xfId="3">
      <alignment horizontal="center" vertical="center" wrapText="1"/>
    </xf>
    <xf numFmtId="167" fontId="22" fillId="0" borderId="2" applyAlignment="1" pivotButton="0" quotePrefix="0" xfId="3">
      <alignment horizontal="right" vertical="center" wrapText="1"/>
    </xf>
    <xf numFmtId="0" fontId="22" fillId="0" borderId="2" applyAlignment="1" pivotButton="0" quotePrefix="0" xfId="0">
      <alignment vertical="top" wrapText="1"/>
    </xf>
    <xf numFmtId="4" fontId="22" fillId="0" borderId="2" applyAlignment="1" pivotButton="0" quotePrefix="0" xfId="3">
      <alignment horizontal="right" vertical="center" wrapText="1"/>
    </xf>
    <xf numFmtId="0" fontId="0" fillId="0" borderId="15" pivotButton="0" quotePrefix="0" xfId="0"/>
    <xf numFmtId="165" fontId="27" fillId="13" borderId="2" applyAlignment="1" pivotButton="0" quotePrefix="0" xfId="0">
      <alignment horizontal="center" vertical="center"/>
    </xf>
    <xf numFmtId="167" fontId="2" fillId="0" borderId="2" applyAlignment="1" pivotButton="0" quotePrefix="0" xfId="3">
      <alignment horizontal="right" vertical="center"/>
    </xf>
    <xf numFmtId="164" fontId="22" fillId="0" borderId="2" applyAlignment="1" pivotButton="0" quotePrefix="1" xfId="0">
      <alignment horizontal="left" vertical="center" wrapText="1"/>
    </xf>
    <xf numFmtId="167" fontId="1" fillId="2" borderId="2" applyAlignment="1" pivotButton="0" quotePrefix="0" xfId="3">
      <alignment horizontal="right" vertical="center" wrapText="1"/>
    </xf>
    <xf numFmtId="167" fontId="1" fillId="0" borderId="0" applyAlignment="1" pivotButton="0" quotePrefix="0" xfId="3">
      <alignment horizontal="center" vertical="center" wrapText="1"/>
    </xf>
    <xf numFmtId="165" fontId="27" fillId="15" borderId="18" applyAlignment="1" pivotButton="0" quotePrefix="0" xfId="0">
      <alignment horizontal="center" vertical="center"/>
    </xf>
    <xf numFmtId="4" fontId="27" fillId="15" borderId="18" applyAlignment="1" pivotButton="0" quotePrefix="0" xfId="0">
      <alignment horizontal="center" vertical="top" wrapText="1"/>
    </xf>
    <xf numFmtId="0" fontId="29" fillId="0" borderId="0" pivotButton="0" quotePrefix="0" xfId="0"/>
    <xf numFmtId="0" fontId="20" fillId="0" borderId="16" applyAlignment="1" pivotButton="0" quotePrefix="0" xfId="0">
      <alignment horizontal="left" vertical="center" wrapText="1"/>
    </xf>
    <xf numFmtId="0" fontId="0" fillId="0" borderId="9" pivotButton="0" quotePrefix="0" xfId="0"/>
    <xf numFmtId="0" fontId="0" fillId="0" borderId="10" pivotButton="0" quotePrefix="0" xfId="0"/>
    <xf numFmtId="0" fontId="20" fillId="0" borderId="17" applyAlignment="1" pivotButton="0" quotePrefix="0" xfId="0">
      <alignment horizontal="left" vertical="center" wrapText="1"/>
    </xf>
    <xf numFmtId="0" fontId="0" fillId="0" borderId="11" pivotButton="0" quotePrefix="0" xfId="0"/>
    <xf numFmtId="0" fontId="30" fillId="0" borderId="0" pivotButton="0" quotePrefix="0" xfId="0"/>
    <xf numFmtId="0" fontId="32" fillId="17" borderId="0" applyAlignment="1" pivotButton="0" quotePrefix="0" xfId="0">
      <alignment horizontal="center" vertical="center"/>
    </xf>
    <xf numFmtId="0" fontId="31" fillId="0" borderId="0" pivotButton="0" quotePrefix="0" xfId="0"/>
    <xf numFmtId="0" fontId="33" fillId="0" borderId="0" pivotButton="0" quotePrefix="0" xfId="0"/>
    <xf numFmtId="0" fontId="28" fillId="14" borderId="0" pivotButton="0" quotePrefix="0" xfId="0"/>
    <xf numFmtId="0" fontId="28" fillId="14" borderId="18" applyAlignment="1" pivotButton="0" quotePrefix="0" xfId="0">
      <alignment horizontal="center" vertical="center"/>
    </xf>
    <xf numFmtId="0" fontId="27" fillId="16" borderId="18" applyAlignment="1" pivotButton="0" quotePrefix="0" xfId="0">
      <alignment vertical="top" wrapText="1"/>
    </xf>
    <xf numFmtId="0" fontId="0" fillId="0" borderId="21" pivotButton="0" quotePrefix="0" xfId="0"/>
    <xf numFmtId="0" fontId="0" fillId="0" borderId="22" pivotButton="0" quotePrefix="0" xfId="0"/>
    <xf numFmtId="0" fontId="27" fillId="15" borderId="18" pivotButton="0" quotePrefix="0" xfId="0"/>
    <xf numFmtId="0" fontId="34" fillId="0" borderId="18" applyAlignment="1" pivotButton="0" quotePrefix="0" xfId="0">
      <alignment vertical="top" wrapText="1"/>
    </xf>
    <xf numFmtId="0" fontId="27" fillId="0" borderId="18" applyAlignment="1" pivotButton="0" quotePrefix="0" xfId="0">
      <alignment vertical="top" wrapText="1"/>
    </xf>
    <xf numFmtId="0" fontId="28" fillId="14" borderId="18" pivotButton="0" quotePrefix="0" xfId="0"/>
    <xf numFmtId="0" fontId="27" fillId="13" borderId="18" pivotButton="0" quotePrefix="0" xfId="0"/>
    <xf numFmtId="0" fontId="35" fillId="17" borderId="0" applyAlignment="1" pivotButton="0" quotePrefix="0" xfId="0">
      <alignment horizontal="center" vertical="center"/>
    </xf>
    <xf numFmtId="0" fontId="36" fillId="0" borderId="0" pivotButton="0" quotePrefix="0" xfId="0"/>
    <xf numFmtId="0" fontId="27" fillId="15" borderId="18" applyAlignment="1" pivotButton="0" quotePrefix="0" xfId="0">
      <alignment vertical="top" wrapText="1"/>
    </xf>
  </cellXfs>
  <cellStyles count="4">
    <cellStyle name="Normal" xfId="0" builtinId="0"/>
    <cellStyle name="Moneda [0]" xfId="1" builtinId="7"/>
    <cellStyle name="Normal 2 2 12" xfId="2"/>
    <cellStyle name="Millares [0]" xfId="3" builtinId="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openxmlformats.org/officeDocument/2006/relationships/externalLinkPath" Target="https://echeverriaizquierdo.sharepoint.com/sites/FS_EDIF/Proyectos/2020/Edif%20Principe%20de%20Gales/DOC%20GENERADOS/Presentacion%20y%20GG/GG%20Edif%20Principe%20de%20Gales.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PANEL"/>
      <sheetName val="SUPERFICIE"/>
      <sheetName val="PERSONAL ADM"/>
      <sheetName val="RESUMEN"/>
      <sheetName val="CALCULO MO"/>
      <sheetName val="COSTO DE BYS"/>
      <sheetName val="MAQ"/>
      <sheetName val="EPP Y EPC"/>
      <sheetName val="GRUA"/>
      <sheetName val="G. GENERALES"/>
      <sheetName val="RESUMEN GG"/>
      <sheetName val="VALOR M.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2:F32"/>
  <sheetViews>
    <sheetView showGridLines="0" zoomScale="115" zoomScaleNormal="115" zoomScaleSheetLayoutView="80" workbookViewId="0">
      <selection activeCell="B5" sqref="B5:D5"/>
    </sheetView>
  </sheetViews>
  <sheetFormatPr baseColWidth="10" defaultColWidth="11.3984375" defaultRowHeight="13.5"/>
  <cols>
    <col width="11.3984375" customWidth="1" style="7" min="1" max="1"/>
    <col width="6.265625" customWidth="1" style="8" min="2" max="2"/>
    <col width="59.3984375" customWidth="1" style="7" min="3" max="3"/>
    <col width="19.73046875" customWidth="1" style="9" min="4" max="4"/>
    <col width="11.3984375" customWidth="1" style="7" min="5" max="5"/>
    <col width="17.73046875" customWidth="1" style="7" min="6" max="6"/>
    <col width="11.3984375" customWidth="1" style="7" min="7" max="16384"/>
  </cols>
  <sheetData>
    <row r="2" ht="15" customHeight="1">
      <c r="B2" s="156" t="inlineStr">
        <is>
          <t>ANEXO  N°</t>
        </is>
      </c>
    </row>
    <row r="3" ht="15" customHeight="1">
      <c r="B3" s="156" t="inlineStr">
        <is>
          <t>Licitación Construcción OOCC Túnel LAT Vitacura - Providencia</t>
        </is>
      </c>
    </row>
    <row r="4" ht="15" customHeight="1">
      <c r="B4" s="157" t="inlineStr">
        <is>
          <t>RESUMEN DE PRECIOS</t>
        </is>
      </c>
    </row>
    <row r="5" ht="17.25" customHeight="1">
      <c r="B5" s="158" t="n"/>
    </row>
    <row r="6">
      <c r="C6" s="1" t="n"/>
    </row>
    <row r="7">
      <c r="C7" s="10" t="inlineStr">
        <is>
          <t>Ítem</t>
        </is>
      </c>
      <c r="D7" s="183" t="inlineStr">
        <is>
          <t>Total UF</t>
        </is>
      </c>
    </row>
    <row r="8">
      <c r="C8" s="2" t="n"/>
      <c r="D8" s="184" t="n"/>
    </row>
    <row r="9">
      <c r="B9" s="4" t="n"/>
      <c r="C9" s="1" t="inlineStr">
        <is>
          <t>Resumen de Precios</t>
        </is>
      </c>
      <c r="D9" s="184" t="n"/>
    </row>
    <row r="10">
      <c r="B10" s="5" t="inlineStr">
        <is>
          <t>A</t>
        </is>
      </c>
      <c r="C10" s="11" t="inlineStr">
        <is>
          <t>Total Costo Directo</t>
        </is>
      </c>
      <c r="D10" s="185">
        <f>+'A) Detalle Costo Directo'!F360</f>
        <v/>
      </c>
      <c r="F10" s="43" t="n"/>
    </row>
    <row r="11">
      <c r="B11" s="5" t="inlineStr">
        <is>
          <t>B</t>
        </is>
      </c>
      <c r="C11" s="11" t="inlineStr">
        <is>
          <t>Total Costo Indirecto</t>
        </is>
      </c>
      <c r="D11" s="185">
        <f>+'B) Detalle C. Ind., GG y Utilid'!G56</f>
        <v/>
      </c>
      <c r="E11" s="100" t="n"/>
      <c r="F11" s="43" t="n"/>
    </row>
    <row r="12">
      <c r="B12" s="5" t="inlineStr">
        <is>
          <t>C</t>
        </is>
      </c>
      <c r="C12" s="11" t="inlineStr">
        <is>
          <t>Total Gastos Generales</t>
        </is>
      </c>
      <c r="D12" s="185">
        <f>+'B) Detalle C. Ind., GG y Utilid'!G57</f>
        <v/>
      </c>
      <c r="E12" s="100" t="n"/>
      <c r="F12" s="43" t="n"/>
    </row>
    <row r="13">
      <c r="B13" s="5" t="inlineStr">
        <is>
          <t>D</t>
        </is>
      </c>
      <c r="C13" s="11" t="inlineStr">
        <is>
          <t>Utilidades</t>
        </is>
      </c>
      <c r="D13" s="185">
        <f>+'B) Detalle C. Ind., GG y Utilid'!G58</f>
        <v/>
      </c>
      <c r="E13" s="100" t="n"/>
      <c r="F13" s="43" t="n"/>
    </row>
    <row r="14">
      <c r="C14" s="1" t="n"/>
      <c r="D14" s="186" t="n"/>
    </row>
    <row r="15">
      <c r="C15" s="11" t="inlineStr">
        <is>
          <t>Total Neto</t>
        </is>
      </c>
      <c r="D15" s="185">
        <f>+SUM(D10:D13)</f>
        <v/>
      </c>
      <c r="F15" s="43" t="n"/>
    </row>
    <row r="16">
      <c r="C16" s="1" t="n"/>
      <c r="D16" s="186" t="n"/>
    </row>
    <row r="17">
      <c r="C17" s="11" t="inlineStr">
        <is>
          <t>IVA</t>
        </is>
      </c>
      <c r="D17" s="185">
        <f>+D15*0.19</f>
        <v/>
      </c>
    </row>
    <row r="18">
      <c r="C18" s="1" t="n"/>
      <c r="D18" s="186" t="n"/>
    </row>
    <row r="19">
      <c r="C19" s="17" t="inlineStr">
        <is>
          <t>Total</t>
        </is>
      </c>
      <c r="D19" s="187">
        <f>+D15+D17</f>
        <v/>
      </c>
    </row>
    <row r="20">
      <c r="B20" s="156" t="n"/>
      <c r="C20" s="12" t="n"/>
      <c r="D20" s="186" t="n"/>
    </row>
    <row r="21">
      <c r="C21" s="1" t="n"/>
      <c r="D21" s="156" t="n"/>
    </row>
    <row r="22">
      <c r="C22" s="1" t="n"/>
      <c r="D22" s="156" t="n"/>
    </row>
    <row r="23">
      <c r="C23" s="1" t="n"/>
      <c r="D23" s="156" t="n"/>
    </row>
    <row r="24">
      <c r="C24" s="1" t="n"/>
      <c r="D24" s="13" t="n"/>
    </row>
    <row r="25">
      <c r="D25" s="14" t="n"/>
    </row>
    <row r="26">
      <c r="D26" s="156" t="n"/>
    </row>
    <row r="27">
      <c r="D27" s="157" t="inlineStr">
        <is>
          <t>Firma y Timbre</t>
        </is>
      </c>
    </row>
    <row r="28">
      <c r="D28" s="157" t="inlineStr">
        <is>
          <t>Representante Legal del Proponente</t>
        </is>
      </c>
    </row>
    <row r="29">
      <c r="C29" s="3" t="n"/>
      <c r="D29" s="156" t="n"/>
    </row>
    <row r="30">
      <c r="C30" s="12" t="n"/>
    </row>
    <row r="32">
      <c r="A32" s="188" t="inlineStr">
        <is>
          <t>Verde: cantidad calculada por modelo</t>
        </is>
      </c>
      <c r="B32" s="189" t="inlineStr">
        <is>
          <t>Salmón: precio referencial ONDAC 2026 (UF)</t>
        </is>
      </c>
      <c r="C32" s="190" t="inlineStr">
        <is>
          <t>Amarillo: completar con precio oferta</t>
        </is>
      </c>
    </row>
  </sheetData>
  <mergeCells count="4">
    <mergeCell ref="B3:D3"/>
    <mergeCell ref="B5:D5"/>
    <mergeCell ref="B2:D2"/>
    <mergeCell ref="B4:D4"/>
  </mergeCells>
  <printOptions horizontalCentered="1"/>
  <pageMargins left="0.7086614173228347" right="0.7086614173228347" top="0.7480314960629921" bottom="0.7480314960629921" header="0.3149606299212598" footer="0.3149606299212598"/>
  <pageSetup orientation="portrait" scale="75" fitToHeight="2"/>
  <headerFooter>
    <oddHeader/>
    <oddFooter>&amp;C&amp;P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N370"/>
  <sheetViews>
    <sheetView showGridLines="0" tabSelected="1" zoomScale="81" zoomScaleNormal="50" zoomScaleSheetLayoutView="80" workbookViewId="0">
      <pane xSplit="2" ySplit="6" topLeftCell="C7" activePane="bottomRight" state="frozen"/>
      <selection pane="topRight" activeCell="C1" sqref="C1"/>
      <selection pane="bottomLeft" activeCell="A8" sqref="A8"/>
      <selection pane="bottomRight" activeCell="B29" sqref="B29"/>
    </sheetView>
  </sheetViews>
  <sheetFormatPr baseColWidth="10" defaultColWidth="11.3984375" defaultRowHeight="12.75"/>
  <cols>
    <col width="9" customWidth="1" style="172" min="1" max="1"/>
    <col width="55" customWidth="1" style="61" min="2" max="2"/>
    <col width="8" customWidth="1" style="172" min="3" max="3"/>
    <col width="13" customWidth="1" style="172" min="4" max="4"/>
    <col width="16" customWidth="1" style="191" min="5" max="5"/>
    <col width="14" customWidth="1" style="192" min="6" max="6"/>
    <col width="22" customWidth="1" style="61" min="7" max="7"/>
    <col width="30" customWidth="1" style="55" min="8" max="8"/>
    <col width="11.3984375" customWidth="1" style="61" min="9" max="9"/>
    <col width="11.3984375" customWidth="1" style="61" min="10" max="10"/>
    <col width="14.1328125" bestFit="1" customWidth="1" style="61" min="11" max="11"/>
    <col width="11.3984375" customWidth="1" style="61" min="12" max="16384"/>
  </cols>
  <sheetData>
    <row r="1"/>
    <row r="2" ht="15" customHeight="1">
      <c r="A2" s="172" t="inlineStr">
        <is>
          <t>ANEXO  N°</t>
        </is>
      </c>
      <c r="B2" s="193" t="n"/>
      <c r="E2" s="194" t="n"/>
    </row>
    <row r="3" ht="12.75" customHeight="1">
      <c r="A3" s="172">
        <f>+'Resumen Oferta'!B3</f>
        <v/>
      </c>
      <c r="B3" s="193" t="n"/>
      <c r="E3" s="194" t="n"/>
    </row>
    <row r="4" ht="12.75" customHeight="1">
      <c r="A4" s="173" t="inlineStr">
        <is>
          <t>DESGLOSE DE COSTO DIRECTO</t>
        </is>
      </c>
      <c r="B4" s="193" t="n"/>
      <c r="E4" s="194" t="n"/>
    </row>
    <row r="5"/>
    <row r="6" ht="25.5" customHeight="1">
      <c r="A6" s="77" t="inlineStr">
        <is>
          <t>N°</t>
        </is>
      </c>
      <c r="B6" s="195" t="inlineStr">
        <is>
          <t>Ítem</t>
        </is>
      </c>
      <c r="C6" s="77" t="inlineStr">
        <is>
          <t>Unidad</t>
        </is>
      </c>
      <c r="D6" s="196" t="inlineStr">
        <is>
          <t>Cantidad</t>
        </is>
      </c>
      <c r="E6" s="197" t="inlineStr">
        <is>
          <t>Precio Unitario UF</t>
        </is>
      </c>
      <c r="F6" s="198">
        <f>D6*E6</f>
        <v/>
      </c>
      <c r="G6" s="77" t="inlineStr">
        <is>
          <t>Observación</t>
        </is>
      </c>
      <c r="H6" s="77" t="inlineStr">
        <is>
          <t>Pago</t>
        </is>
      </c>
    </row>
    <row r="7" ht="25.5" customHeight="1">
      <c r="A7" s="199" t="inlineStr">
        <is>
          <t>1.0</t>
        </is>
      </c>
      <c r="B7" s="199" t="inlineStr">
        <is>
          <t>Actividades Previas de Ingeniería, Procedimientos de Trabajo y Coordinación con Servicios de agua, electricidad, gas, telecomunicaciones</t>
        </is>
      </c>
      <c r="C7" s="51" t="n"/>
      <c r="D7" s="78" t="n"/>
      <c r="E7" s="200" t="n"/>
      <c r="F7" s="201">
        <f>+SUM(F8:F12)</f>
        <v/>
      </c>
      <c r="G7" s="202" t="inlineStr">
        <is>
          <t>x</t>
        </is>
      </c>
      <c r="H7" s="80" t="n"/>
    </row>
    <row r="8" ht="63.75" customHeight="1">
      <c r="A8" s="102" t="inlineStr">
        <is>
          <t>1.1</t>
        </is>
      </c>
      <c r="B8" s="203" t="inlineStr">
        <is>
          <t xml:space="preserve">Elaboración y Aprobación de todos los procedimientos de trabajo que sean necesarios para iniciar las obras: Correctas Prácticas con la Comunidad, Programa de Prevención de Riesgos, Habilitación de Instalación de Faenas, Construcción de Cierres Perimetrales, Ejecución de Señalización Vial, Plan de Emergencias, Matriz de Riesgos, Izaje Carga y Descarga y de Construcción Túnel Liner </t>
        </is>
      </c>
      <c r="C8" s="48" t="inlineStr">
        <is>
          <t>gl</t>
        </is>
      </c>
      <c r="D8" s="204" t="n">
        <v>1</v>
      </c>
      <c r="E8" s="197" t="n"/>
      <c r="F8" s="205">
        <f>D8*E8</f>
        <v/>
      </c>
      <c r="G8" s="62" t="inlineStr">
        <is>
          <t>Etapa 1, Suma alzada</t>
        </is>
      </c>
      <c r="H8" s="176" t="n"/>
    </row>
    <row r="9" ht="38.25" customHeight="1">
      <c r="A9" s="102" t="inlineStr">
        <is>
          <t>1.2</t>
        </is>
      </c>
      <c r="B9" s="206" t="inlineStr">
        <is>
          <t>Revisión del Estudio de Levantamiento de Servicios aportado por STM. 
Comunicación inicial y coordinación con las empresas de servicios de agua, electricidad, telecomunicaciones, gas, la UOCT y municipalidades</t>
        </is>
      </c>
      <c r="C9" s="48" t="inlineStr">
        <is>
          <t>gl</t>
        </is>
      </c>
      <c r="D9" s="204" t="n">
        <v>1</v>
      </c>
      <c r="E9" s="197" t="n"/>
      <c r="F9" s="205">
        <f>D9*E9</f>
        <v/>
      </c>
      <c r="G9" s="62" t="inlineStr">
        <is>
          <t>Etapa 1, Suma alzada</t>
        </is>
      </c>
      <c r="H9" s="207" t="n"/>
    </row>
    <row r="10" ht="25.5" customHeight="1">
      <c r="A10" s="102" t="inlineStr">
        <is>
          <t>1.3</t>
        </is>
      </c>
      <c r="B10" s="206" t="inlineStr">
        <is>
          <t>Memoria de Cálculo Sistema de Izaje y Fundación, Ventilación de Túnels (para construcción)</t>
        </is>
      </c>
      <c r="C10" s="48" t="inlineStr">
        <is>
          <t>gl</t>
        </is>
      </c>
      <c r="D10" s="204" t="n">
        <v>1</v>
      </c>
      <c r="E10" s="197" t="n"/>
      <c r="F10" s="205">
        <f>D10*E10</f>
        <v/>
      </c>
      <c r="G10" s="62" t="inlineStr">
        <is>
          <t>Etapa 1, Suma alzada</t>
        </is>
      </c>
      <c r="H10" s="207" t="n"/>
    </row>
    <row r="11">
      <c r="A11" s="102" t="inlineStr">
        <is>
          <t>1.4</t>
        </is>
      </c>
      <c r="B11" s="206" t="inlineStr">
        <is>
          <t>Entrega de Planos As Built</t>
        </is>
      </c>
      <c r="C11" s="48" t="inlineStr">
        <is>
          <t>gl</t>
        </is>
      </c>
      <c r="D11" s="204" t="n">
        <v>1</v>
      </c>
      <c r="E11" s="197" t="n"/>
      <c r="F11" s="205">
        <f>D11*E11</f>
        <v/>
      </c>
      <c r="G11" s="62" t="inlineStr">
        <is>
          <t>Etapa 2, Suma alzada</t>
        </is>
      </c>
      <c r="H11" s="208" t="n"/>
    </row>
    <row r="12">
      <c r="A12" s="102" t="n"/>
      <c r="B12" s="47" t="n"/>
      <c r="C12" s="48" t="n"/>
      <c r="D12" s="49" t="n"/>
      <c r="E12" s="209" t="n"/>
      <c r="F12" s="210" t="n"/>
      <c r="G12" s="62" t="n"/>
      <c r="H12" s="47" t="n"/>
    </row>
    <row r="13" customFormat="1" s="70">
      <c r="A13" s="199" t="inlineStr">
        <is>
          <t>2.0</t>
        </is>
      </c>
      <c r="B13" s="199" t="inlineStr">
        <is>
          <t>Suministros</t>
        </is>
      </c>
      <c r="C13" s="82" t="n"/>
      <c r="D13" s="83" t="n"/>
      <c r="E13" s="211" t="n"/>
      <c r="F13" s="201">
        <f>+SUM(F14:F22)</f>
        <v/>
      </c>
      <c r="G13" s="84" t="n"/>
      <c r="H13" s="85" t="n"/>
    </row>
    <row r="14" ht="38.25" customFormat="1" customHeight="1" s="70">
      <c r="A14" s="71" t="inlineStr">
        <is>
          <t>2.1</t>
        </is>
      </c>
      <c r="B14" s="212" t="inlineStr">
        <is>
          <t>Liners de Piques puesto en bodega del proveedor y aprobado por el Cliente
(Piques de 4,0 metros de diámetro, espesor de liners de 5mm y galvanizado de 112 micras de espesor promedio)</t>
        </is>
      </c>
      <c r="C14" s="72" t="inlineStr">
        <is>
          <t>m</t>
        </is>
      </c>
      <c r="D14" s="76" t="n"/>
      <c r="E14" s="197" t="n"/>
      <c r="F14" s="210">
        <f>+D14*E14</f>
        <v/>
      </c>
      <c r="G14" s="47" t="inlineStr">
        <is>
          <t>Aporte STM</t>
        </is>
      </c>
      <c r="H14" s="169" t="inlineStr">
        <is>
          <t>5% con el cumplimiento de Condiciones contractuales, 85% por avance proporcional y 10% con la recepción provisional de la obra.</t>
        </is>
      </c>
    </row>
    <row r="15" ht="38.25" customFormat="1" customHeight="1" s="70">
      <c r="A15" s="71" t="inlineStr">
        <is>
          <t>2.2</t>
        </is>
      </c>
      <c r="B15" s="212" t="inlineStr">
        <is>
          <t>Liners de Túnel puesto en bodega del proveedor y aprobado por el Cliente
(2,21 metros de diámetro, espesor de liners de 5mm y galvanizado de 112 micras de espesor promedio)</t>
        </is>
      </c>
      <c r="C15" s="72" t="inlineStr">
        <is>
          <t>m</t>
        </is>
      </c>
      <c r="D15" s="76" t="n"/>
      <c r="E15" s="213" t="n"/>
      <c r="F15" s="210">
        <f>+D15*E15</f>
        <v/>
      </c>
      <c r="G15" s="47" t="inlineStr">
        <is>
          <t>Aporte STM</t>
        </is>
      </c>
      <c r="H15" s="207" t="n"/>
    </row>
    <row r="16" customFormat="1" s="70">
      <c r="A16" s="71" t="inlineStr">
        <is>
          <t>2.5</t>
        </is>
      </c>
      <c r="B16" s="214" t="inlineStr">
        <is>
          <t>Jet Fan 3,5kW</t>
        </is>
      </c>
      <c r="C16" s="48" t="inlineStr">
        <is>
          <t>und</t>
        </is>
      </c>
      <c r="D16" s="49" t="n"/>
      <c r="E16" s="197" t="n"/>
      <c r="F16" s="210">
        <f>+D16*E16</f>
        <v/>
      </c>
      <c r="G16" s="47" t="inlineStr">
        <is>
          <t>Aporte STM</t>
        </is>
      </c>
      <c r="H16" s="207" t="n"/>
    </row>
    <row r="17" ht="33" customFormat="1" customHeight="1" s="87">
      <c r="A17" s="71" t="inlineStr">
        <is>
          <t>2.6</t>
        </is>
      </c>
      <c r="B17" s="214" t="inlineStr">
        <is>
          <t>Estructuras Galvanizadas de soporte de cables</t>
        </is>
      </c>
      <c r="C17" s="72" t="inlineStr">
        <is>
          <t>kg</t>
        </is>
      </c>
      <c r="D17" s="49" t="n"/>
      <c r="E17" s="197" t="n"/>
      <c r="F17" s="210">
        <f>+D17*E17</f>
        <v/>
      </c>
      <c r="G17" s="47" t="inlineStr">
        <is>
          <t>Aporte STM</t>
        </is>
      </c>
      <c r="H17" s="207" t="n"/>
    </row>
    <row r="18" ht="16.5" customFormat="1" customHeight="1" s="70">
      <c r="A18" s="71" t="inlineStr">
        <is>
          <t>2.7</t>
        </is>
      </c>
      <c r="B18" s="214" t="inlineStr">
        <is>
          <t>Estructuras de Cobertura de Piques</t>
        </is>
      </c>
      <c r="C18" s="72" t="inlineStr">
        <is>
          <t>kg</t>
        </is>
      </c>
      <c r="D18" s="76" t="n"/>
      <c r="E18" s="197" t="n"/>
      <c r="F18" s="210">
        <f>+D18*E18</f>
        <v/>
      </c>
      <c r="G18" s="47" t="inlineStr">
        <is>
          <t>Aporte STM</t>
        </is>
      </c>
      <c r="H18" s="207" t="n"/>
    </row>
    <row r="19" ht="15" customFormat="1" customHeight="1" s="70">
      <c r="A19" s="71" t="inlineStr">
        <is>
          <t>2.8</t>
        </is>
      </c>
      <c r="B19" s="214" t="inlineStr">
        <is>
          <t>Estructuras Galvanizadas de Escalas, barandas y Plataformas</t>
        </is>
      </c>
      <c r="C19" s="72" t="inlineStr">
        <is>
          <t>kg</t>
        </is>
      </c>
      <c r="D19" s="76" t="n"/>
      <c r="E19" s="197" t="n"/>
      <c r="F19" s="210">
        <f>+D19*E19</f>
        <v/>
      </c>
      <c r="G19" s="47" t="inlineStr">
        <is>
          <t>Aporte STM</t>
        </is>
      </c>
      <c r="H19" s="207" t="n"/>
    </row>
    <row r="20" customFormat="1" s="70">
      <c r="A20" s="71" t="inlineStr">
        <is>
          <t>2.9</t>
        </is>
      </c>
      <c r="B20" s="214" t="inlineStr">
        <is>
          <t>Otras Estructuras</t>
        </is>
      </c>
      <c r="C20" s="72" t="inlineStr">
        <is>
          <t>kg</t>
        </is>
      </c>
      <c r="D20" s="76" t="n"/>
      <c r="E20" s="197" t="n"/>
      <c r="F20" s="210">
        <f>+D20*E20</f>
        <v/>
      </c>
      <c r="G20" s="47" t="inlineStr">
        <is>
          <t>Aporte STM</t>
        </is>
      </c>
      <c r="H20" s="207" t="n"/>
    </row>
    <row r="21" customFormat="1" s="70">
      <c r="A21" s="71" t="inlineStr">
        <is>
          <t>2.10</t>
        </is>
      </c>
      <c r="B21" s="214" t="inlineStr">
        <is>
          <t>Sistema de Planta Elevadora de Agua</t>
        </is>
      </c>
      <c r="C21" s="72" t="inlineStr">
        <is>
          <t>gl</t>
        </is>
      </c>
      <c r="D21" s="76" t="n"/>
      <c r="E21" s="197" t="n"/>
      <c r="F21" s="210">
        <f>+D21*E21</f>
        <v/>
      </c>
      <c r="G21" s="47" t="inlineStr">
        <is>
          <t>Aporte STM</t>
        </is>
      </c>
      <c r="H21" s="207" t="n"/>
    </row>
    <row r="22" customFormat="1" s="70">
      <c r="A22" s="71" t="n"/>
      <c r="B22" s="47" t="n"/>
      <c r="C22" s="72" t="n"/>
      <c r="D22" s="76" t="n"/>
      <c r="E22" s="215" t="n"/>
      <c r="F22" s="216" t="n"/>
      <c r="G22" s="74" t="n"/>
      <c r="H22" s="71" t="n"/>
    </row>
    <row r="23">
      <c r="A23" s="199" t="inlineStr">
        <is>
          <t>3.0</t>
        </is>
      </c>
      <c r="B23" s="199" t="inlineStr">
        <is>
          <t>Instalación de Faenas</t>
        </is>
      </c>
      <c r="C23" s="51" t="n"/>
      <c r="D23" s="78" t="n"/>
      <c r="E23" s="200" t="n"/>
      <c r="F23" s="201">
        <f>+SUM(F24:F39)</f>
        <v/>
      </c>
      <c r="G23" s="66" t="n"/>
      <c r="H23" s="80" t="n"/>
    </row>
    <row r="24" ht="12.75" customHeight="1">
      <c r="A24" s="168" t="inlineStr">
        <is>
          <t>3.1</t>
        </is>
      </c>
      <c r="B24" s="214" t="inlineStr">
        <is>
          <t>Cierres Perimetrales Piques 02 a 08. Suministro, Retiro y Disposición final</t>
        </is>
      </c>
      <c r="C24" s="48" t="inlineStr">
        <is>
          <t>gl</t>
        </is>
      </c>
      <c r="D24" s="204" t="n">
        <v>1</v>
      </c>
      <c r="E24" s="197" t="n"/>
      <c r="F24" s="205">
        <f>D24*E24</f>
        <v/>
      </c>
      <c r="G24" s="47" t="inlineStr">
        <is>
          <t>Etapa 2, Suma alzada</t>
        </is>
      </c>
      <c r="H24" s="162" t="inlineStr">
        <is>
          <t>5% con el cumplimiento de Condiciones contractuales, 85% por avance proporcional y 10% con la recepción provisional de la obra</t>
        </is>
      </c>
    </row>
    <row r="25">
      <c r="A25" s="168" t="inlineStr">
        <is>
          <t>3.2</t>
        </is>
      </c>
      <c r="B25" s="214" t="inlineStr">
        <is>
          <t>Portones Cierres Perimetrales Piques 02 a 08. Suministro, Retiro y Disposición final</t>
        </is>
      </c>
      <c r="C25" s="48" t="inlineStr">
        <is>
          <t>gl</t>
        </is>
      </c>
      <c r="D25" s="204" t="n">
        <v>1</v>
      </c>
      <c r="E25" s="197" t="n"/>
      <c r="F25" s="205">
        <f>D25*E25</f>
        <v/>
      </c>
      <c r="G25" s="47" t="inlineStr">
        <is>
          <t>Etapa 2, Suma alzada</t>
        </is>
      </c>
      <c r="H25" s="207" t="n"/>
    </row>
    <row r="26">
      <c r="A26" s="168" t="inlineStr">
        <is>
          <t>3.3</t>
        </is>
      </c>
      <c r="B26" s="214" t="inlineStr">
        <is>
          <t>Bodegas Resnopel Piques 02 a 08</t>
        </is>
      </c>
      <c r="C26" s="48" t="inlineStr">
        <is>
          <t>gl</t>
        </is>
      </c>
      <c r="D26" s="204" t="n">
        <v>1</v>
      </c>
      <c r="E26" s="197" t="n"/>
      <c r="F26" s="205">
        <f>D26*E26</f>
        <v/>
      </c>
      <c r="G26" s="47" t="inlineStr">
        <is>
          <t>Etapa 2, Suma alzada</t>
        </is>
      </c>
      <c r="H26" s="207" t="n"/>
    </row>
    <row r="27">
      <c r="A27" s="168" t="inlineStr">
        <is>
          <t>3.4</t>
        </is>
      </c>
      <c r="B27" s="214" t="inlineStr">
        <is>
          <t>Bodegas Respel Piques 02 al 08</t>
        </is>
      </c>
      <c r="C27" s="48" t="inlineStr">
        <is>
          <t>gl</t>
        </is>
      </c>
      <c r="D27" s="204" t="n">
        <v>1</v>
      </c>
      <c r="E27" s="197" t="n"/>
      <c r="F27" s="205">
        <f>D27*E27</f>
        <v/>
      </c>
      <c r="G27" s="47" t="inlineStr">
        <is>
          <t>Etapa 2, Suma alzada</t>
        </is>
      </c>
      <c r="H27" s="207" t="n"/>
    </row>
    <row r="28">
      <c r="A28" s="168" t="inlineStr">
        <is>
          <t>3.5</t>
        </is>
      </c>
      <c r="B28" s="214" t="inlineStr">
        <is>
          <t>Contenedores Oficina, Bodega y Sala de Cambio Instalaciones de Faena Piques 01 a 08</t>
        </is>
      </c>
      <c r="C28" s="48" t="inlineStr">
        <is>
          <t>gl</t>
        </is>
      </c>
      <c r="D28" s="204" t="n">
        <v>1</v>
      </c>
      <c r="E28" s="197" t="n"/>
      <c r="F28" s="205">
        <f>D28*E28</f>
        <v/>
      </c>
      <c r="G28" s="47" t="inlineStr">
        <is>
          <t>Etapa 2, Suma alzada</t>
        </is>
      </c>
      <c r="H28" s="207" t="n"/>
    </row>
    <row r="29" customFormat="1" s="65">
      <c r="A29" s="168" t="inlineStr">
        <is>
          <t>3.6</t>
        </is>
      </c>
      <c r="B29" s="214" t="inlineStr">
        <is>
          <t xml:space="preserve">Baños químicos Instalaciones de Faena Piques 01 a 08 </t>
        </is>
      </c>
      <c r="C29" s="48" t="inlineStr">
        <is>
          <t>gl</t>
        </is>
      </c>
      <c r="D29" s="204" t="n">
        <v>1</v>
      </c>
      <c r="E29" s="217" t="n"/>
      <c r="F29" s="205">
        <f>D29*E29</f>
        <v/>
      </c>
      <c r="G29" s="47" t="inlineStr">
        <is>
          <t>Etapa 2, Suma alzada</t>
        </is>
      </c>
      <c r="H29" s="207" t="n"/>
    </row>
    <row r="30" customFormat="1" s="65">
      <c r="A30" s="168" t="inlineStr">
        <is>
          <t>3.7</t>
        </is>
      </c>
      <c r="B30" s="214" t="inlineStr">
        <is>
          <t>Grupo generador Insonorizado e Instalación Eléctrica Piques 01 a 08</t>
        </is>
      </c>
      <c r="C30" s="48" t="inlineStr">
        <is>
          <t>gl</t>
        </is>
      </c>
      <c r="D30" s="204" t="n">
        <v>1</v>
      </c>
      <c r="E30" s="217" t="n"/>
      <c r="F30" s="205">
        <f>D30*E30</f>
        <v/>
      </c>
      <c r="G30" s="47" t="inlineStr">
        <is>
          <t>Etapa 2, Suma alzada</t>
        </is>
      </c>
      <c r="H30" s="207" t="n"/>
    </row>
    <row r="31" customFormat="1" s="65">
      <c r="A31" s="168" t="inlineStr">
        <is>
          <t>3.8</t>
        </is>
      </c>
      <c r="B31" s="214" t="inlineStr">
        <is>
          <t>Estanque de recuperación de Agua de Lavado de Canoas, Piques 01 a 09</t>
        </is>
      </c>
      <c r="C31" s="48" t="inlineStr">
        <is>
          <t>gl</t>
        </is>
      </c>
      <c r="D31" s="204" t="n">
        <v>1</v>
      </c>
      <c r="E31" s="217" t="n"/>
      <c r="F31" s="205">
        <f>D31*E31</f>
        <v/>
      </c>
      <c r="G31" s="47" t="inlineStr">
        <is>
          <t>Etapa 2, Suma alzada</t>
        </is>
      </c>
      <c r="H31" s="207" t="n"/>
    </row>
    <row r="32" customFormat="1" s="65">
      <c r="A32" s="168" t="inlineStr">
        <is>
          <t>3.9</t>
        </is>
      </c>
      <c r="B32" s="214" t="inlineStr">
        <is>
          <t>Instalación para Lavado de Ruedas Piques 02 a 08</t>
        </is>
      </c>
      <c r="C32" s="48" t="inlineStr">
        <is>
          <t>gl</t>
        </is>
      </c>
      <c r="D32" s="204" t="n">
        <v>1</v>
      </c>
      <c r="E32" s="217" t="n"/>
      <c r="F32" s="205">
        <f>D32*E32</f>
        <v/>
      </c>
      <c r="G32" s="47" t="inlineStr">
        <is>
          <t>Etapa 2, Suma alzada</t>
        </is>
      </c>
      <c r="H32" s="207" t="n"/>
    </row>
    <row r="33" customFormat="1" s="65">
      <c r="A33" s="168" t="inlineStr">
        <is>
          <t>3.10</t>
        </is>
      </c>
      <c r="B33" s="214" t="inlineStr">
        <is>
          <t>Señaléticas, Extintores, Estaciones de Emergencia Piques 01 a 09</t>
        </is>
      </c>
      <c r="C33" s="48" t="inlineStr">
        <is>
          <t>gl</t>
        </is>
      </c>
      <c r="D33" s="204" t="n">
        <v>1</v>
      </c>
      <c r="E33" s="217" t="n"/>
      <c r="F33" s="205">
        <f>D33*E33</f>
        <v/>
      </c>
      <c r="G33" s="47" t="inlineStr">
        <is>
          <t>Etapa 2, Suma alzada</t>
        </is>
      </c>
      <c r="H33" s="207" t="n"/>
    </row>
    <row r="34" customFormat="1" s="65">
      <c r="A34" s="168" t="inlineStr">
        <is>
          <t>3.11</t>
        </is>
      </c>
      <c r="B34" s="214" t="inlineStr">
        <is>
          <t>Fundación, estructura y equipos de Izaje  (piques 01 a 09)</t>
        </is>
      </c>
      <c r="C34" s="48" t="inlineStr">
        <is>
          <t>gl</t>
        </is>
      </c>
      <c r="D34" s="204" t="n">
        <v>1</v>
      </c>
      <c r="E34" s="217" t="n"/>
      <c r="F34" s="205">
        <f>D34*E34</f>
        <v/>
      </c>
      <c r="G34" s="47" t="inlineStr">
        <is>
          <t>Etapa 2, Suma alzada</t>
        </is>
      </c>
      <c r="H34" s="207" t="n"/>
    </row>
    <row r="35" customFormat="1" s="65">
      <c r="A35" s="168" t="inlineStr">
        <is>
          <t>3.12</t>
        </is>
      </c>
      <c r="B35" s="214" t="inlineStr">
        <is>
          <t>Sistemas de Ventilación (piques 01 a 09)</t>
        </is>
      </c>
      <c r="C35" s="48" t="inlineStr">
        <is>
          <t>gl</t>
        </is>
      </c>
      <c r="D35" s="204" t="n">
        <v>1</v>
      </c>
      <c r="E35" s="217" t="n"/>
      <c r="F35" s="205">
        <f>D35*E35</f>
        <v/>
      </c>
      <c r="G35" s="47" t="inlineStr">
        <is>
          <t>Etapa 2, Suma alzada</t>
        </is>
      </c>
      <c r="H35" s="207" t="n"/>
    </row>
    <row r="36" customFormat="1" s="65">
      <c r="A36" s="168" t="inlineStr">
        <is>
          <t>3.13</t>
        </is>
      </c>
      <c r="B36" s="214" t="inlineStr">
        <is>
          <t>Implementación de Sistema de Rescate tipo Brazo pescante en Piques 01 a 09</t>
        </is>
      </c>
      <c r="C36" s="48" t="inlineStr">
        <is>
          <t>gl</t>
        </is>
      </c>
      <c r="D36" s="204" t="n">
        <v>1</v>
      </c>
      <c r="E36" s="217" t="n"/>
      <c r="F36" s="205">
        <f>D36*E36</f>
        <v/>
      </c>
      <c r="G36" s="47" t="inlineStr">
        <is>
          <t>Etapa 2, Suma alzada</t>
        </is>
      </c>
      <c r="H36" s="207" t="n"/>
    </row>
    <row r="37" ht="15.75" customFormat="1" customHeight="1" s="65">
      <c r="A37" s="168" t="inlineStr">
        <is>
          <t>3.14</t>
        </is>
      </c>
      <c r="B37" s="214" t="inlineStr">
        <is>
          <t>Sistema de Comunicaciones mediante walkie Talkie entre Frentes de trabajo y Pique</t>
        </is>
      </c>
      <c r="C37" s="48" t="inlineStr">
        <is>
          <t>gl</t>
        </is>
      </c>
      <c r="D37" s="204" t="n">
        <v>1</v>
      </c>
      <c r="E37" s="217" t="n"/>
      <c r="F37" s="205">
        <f>D37*E37</f>
        <v/>
      </c>
      <c r="G37" s="47" t="inlineStr">
        <is>
          <t>Etapa 2, Suma alzada</t>
        </is>
      </c>
      <c r="H37" s="207" t="n"/>
    </row>
    <row r="38" ht="15.75" customFormat="1" customHeight="1" s="65">
      <c r="A38" s="168" t="inlineStr">
        <is>
          <t>3.15</t>
        </is>
      </c>
      <c r="B38" s="214" t="inlineStr">
        <is>
          <t>Otros elementos necesarios</t>
        </is>
      </c>
      <c r="C38" s="48" t="inlineStr">
        <is>
          <t>gl</t>
        </is>
      </c>
      <c r="D38" s="204" t="n">
        <v>1</v>
      </c>
      <c r="E38" s="217" t="n"/>
      <c r="F38" s="205">
        <f>D38*E38</f>
        <v/>
      </c>
      <c r="G38" s="47" t="inlineStr">
        <is>
          <t>Etapa 2, Suma alzada</t>
        </is>
      </c>
      <c r="H38" s="207" t="n"/>
    </row>
    <row r="39" customFormat="1" s="65">
      <c r="A39" s="47" t="n"/>
      <c r="B39" s="44" t="n"/>
      <c r="C39" s="48" t="n"/>
      <c r="D39" s="49" t="n"/>
      <c r="E39" s="218" t="n"/>
      <c r="F39" s="210" t="n"/>
      <c r="G39" s="62" t="n"/>
      <c r="H39" s="75" t="n"/>
    </row>
    <row r="40">
      <c r="A40" s="199" t="inlineStr">
        <is>
          <t>4.0</t>
        </is>
      </c>
      <c r="B40" s="199" t="inlineStr">
        <is>
          <t>Obras Civiles Piques</t>
        </is>
      </c>
      <c r="C40" s="51" t="n"/>
      <c r="D40" s="78" t="n"/>
      <c r="E40" s="200" t="n"/>
      <c r="F40" s="201">
        <f>+F41+F58+F74+F90+F106+F122+F138+F154+F170</f>
        <v/>
      </c>
      <c r="G40" s="79" t="n"/>
      <c r="H40" s="80" t="n"/>
    </row>
    <row r="41">
      <c r="A41" s="56" t="inlineStr">
        <is>
          <t>4.1</t>
        </is>
      </c>
      <c r="B41" s="219" t="inlineStr">
        <is>
          <t>Pique 1 Túnel Liner</t>
        </is>
      </c>
      <c r="C41" s="57" t="n"/>
      <c r="D41" s="58" t="n"/>
      <c r="E41" s="197" t="n"/>
      <c r="F41" s="220">
        <f>+SUM(F42:F57)</f>
        <v/>
      </c>
      <c r="G41" s="63" t="n"/>
      <c r="H41" s="64" t="n"/>
    </row>
    <row r="42" ht="12.75" customHeight="1">
      <c r="A42" s="47" t="inlineStr">
        <is>
          <t>4.1.1</t>
        </is>
      </c>
      <c r="B42" s="214" t="inlineStr">
        <is>
          <t>Excavación</t>
        </is>
      </c>
      <c r="C42" s="48" t="inlineStr">
        <is>
          <t>m3</t>
        </is>
      </c>
      <c r="D42" s="221" t="n">
        <v>252.46</v>
      </c>
      <c r="E42" s="222" t="n">
        <v>2.2078</v>
      </c>
      <c r="F42" s="205">
        <f>D42*E42</f>
        <v/>
      </c>
      <c r="G42" s="47" t="inlineStr">
        <is>
          <t>Etapa 2, Suma alzada</t>
        </is>
      </c>
      <c r="H42" s="167" t="inlineStr">
        <is>
          <t>5% con el cumplimiento de Condiciones contractuales, 85% por avance proporcional y 10% con la recepción provisional de la obra.</t>
        </is>
      </c>
    </row>
    <row r="43">
      <c r="A43" s="47" t="inlineStr">
        <is>
          <t>4.1.2</t>
        </is>
      </c>
      <c r="B43" s="214" t="inlineStr">
        <is>
          <t>Retiro excavación y transporte a botadero (geométrico)</t>
        </is>
      </c>
      <c r="C43" s="48" t="inlineStr">
        <is>
          <t>m3</t>
        </is>
      </c>
      <c r="D43" s="221" t="n">
        <v>252.46</v>
      </c>
      <c r="E43" s="222" t="n">
        <v>0.9091</v>
      </c>
      <c r="F43" s="205">
        <f>D43*E43</f>
        <v/>
      </c>
      <c r="G43" s="47" t="inlineStr">
        <is>
          <t>Etapa 2, Suma alzada</t>
        </is>
      </c>
      <c r="H43" s="207" t="n"/>
    </row>
    <row r="44">
      <c r="A44" s="47" t="inlineStr">
        <is>
          <t>4.1.3</t>
        </is>
      </c>
      <c r="B44" s="214" t="inlineStr">
        <is>
          <t>Montaje Liner (Incluyendo sello entre placas y mortero)</t>
        </is>
      </c>
      <c r="C44" s="48" t="inlineStr">
        <is>
          <t>m</t>
        </is>
      </c>
      <c r="D44" s="221" t="n">
        <v>20.1</v>
      </c>
      <c r="E44" s="222" t="n">
        <v>5.7143</v>
      </c>
      <c r="F44" s="205">
        <f>D44*E44</f>
        <v/>
      </c>
      <c r="G44" s="47" t="inlineStr">
        <is>
          <t>Etapa 2, Suma alzada</t>
        </is>
      </c>
      <c r="H44" s="207" t="n"/>
    </row>
    <row r="45">
      <c r="A45" s="47" t="inlineStr">
        <is>
          <t>4.1.4</t>
        </is>
      </c>
      <c r="B45" s="214" t="inlineStr">
        <is>
          <t>Refuerzo Losa Anillo Fondo de Pique</t>
        </is>
      </c>
      <c r="C45" s="48" t="inlineStr">
        <is>
          <t>gl</t>
        </is>
      </c>
      <c r="D45" s="221" t="n">
        <v>1</v>
      </c>
      <c r="E45" s="222" t="n">
        <v>72.7273</v>
      </c>
      <c r="F45" s="205">
        <f>D45*E45</f>
        <v/>
      </c>
      <c r="G45" s="47" t="inlineStr">
        <is>
          <t>Etapa 2, Suma alzada</t>
        </is>
      </c>
      <c r="H45" s="207" t="n"/>
    </row>
    <row r="46">
      <c r="A46" s="47" t="inlineStr">
        <is>
          <t>4.1.5</t>
        </is>
      </c>
      <c r="B46" s="214" t="inlineStr">
        <is>
          <t>Construcción de Dren</t>
        </is>
      </c>
      <c r="C46" s="48" t="inlineStr">
        <is>
          <t>gl</t>
        </is>
      </c>
      <c r="D46" s="221" t="n">
        <v>1</v>
      </c>
      <c r="E46" s="222" t="n">
        <v>46.7532</v>
      </c>
      <c r="F46" s="205">
        <f>D46*E46</f>
        <v/>
      </c>
      <c r="G46" s="47" t="inlineStr">
        <is>
          <t>Etapa 2, Suma alzada</t>
        </is>
      </c>
      <c r="H46" s="207" t="n"/>
    </row>
    <row r="47">
      <c r="A47" s="47" t="inlineStr">
        <is>
          <t>4.1.6</t>
        </is>
      </c>
      <c r="B47" s="214" t="inlineStr">
        <is>
          <t>Terminaciones</t>
        </is>
      </c>
      <c r="C47" s="48" t="inlineStr">
        <is>
          <t>gl</t>
        </is>
      </c>
      <c r="D47" s="221" t="n">
        <v>1</v>
      </c>
      <c r="E47" s="222" t="n">
        <v>38.961</v>
      </c>
      <c r="F47" s="205">
        <f>D47*E47</f>
        <v/>
      </c>
      <c r="G47" s="47" t="inlineStr">
        <is>
          <t>Etapa 2, Suma alzada</t>
        </is>
      </c>
      <c r="H47" s="207" t="n"/>
    </row>
    <row r="48" ht="39" customHeight="1">
      <c r="A48" s="47" t="inlineStr">
        <is>
          <t>4.1.7</t>
        </is>
      </c>
      <c r="B48" s="214" t="inlineStr">
        <is>
          <t>Cobertura propia pique, considera construcción de Cámara de Conexión AT en SE Vitacura</t>
        </is>
      </c>
      <c r="C48" s="48" t="inlineStr">
        <is>
          <t>gl</t>
        </is>
      </c>
      <c r="D48" s="221" t="n">
        <v>1</v>
      </c>
      <c r="E48" s="222" t="n">
        <v>90.9091</v>
      </c>
      <c r="F48" s="205">
        <f>D48*E48</f>
        <v/>
      </c>
      <c r="G48" s="47" t="inlineStr">
        <is>
          <t>Etapa 2, Suma alzada</t>
        </is>
      </c>
      <c r="H48" s="207" t="n"/>
    </row>
    <row r="49">
      <c r="A49" s="47" t="inlineStr">
        <is>
          <t>4.1.8</t>
        </is>
      </c>
      <c r="B49" s="223" t="inlineStr">
        <is>
          <t>Montaje de Escalas y Plataforma</t>
        </is>
      </c>
      <c r="C49" s="48" t="inlineStr">
        <is>
          <t>gl</t>
        </is>
      </c>
      <c r="D49" s="221" t="n">
        <v>1</v>
      </c>
      <c r="E49" s="222" t="n">
        <v>83.1169</v>
      </c>
      <c r="F49" s="205">
        <f>D49*E49</f>
        <v/>
      </c>
      <c r="G49" s="47" t="inlineStr">
        <is>
          <t>Etapa 2, Suma alzada</t>
        </is>
      </c>
      <c r="H49" s="207" t="n"/>
    </row>
    <row r="50">
      <c r="A50" s="47" t="inlineStr">
        <is>
          <t>4.1.9</t>
        </is>
      </c>
      <c r="B50" s="214" t="inlineStr">
        <is>
          <t>Refuerzo Apertura Pique</t>
        </is>
      </c>
      <c r="C50" s="48" t="inlineStr">
        <is>
          <t>gl</t>
        </is>
      </c>
      <c r="D50" s="221" t="n">
        <v>1</v>
      </c>
      <c r="E50" s="222" t="n">
        <v>57.1429</v>
      </c>
      <c r="F50" s="205">
        <f>D50*E50</f>
        <v/>
      </c>
      <c r="G50" s="47" t="inlineStr">
        <is>
          <t>Etapa 2, Suma alzada</t>
        </is>
      </c>
      <c r="H50" s="207" t="n"/>
    </row>
    <row r="51">
      <c r="A51" s="47" t="inlineStr">
        <is>
          <t>4.1.10</t>
        </is>
      </c>
      <c r="B51" s="214" t="inlineStr">
        <is>
          <t>Shotcrete</t>
        </is>
      </c>
      <c r="C51" s="48" t="inlineStr">
        <is>
          <t>m3</t>
        </is>
      </c>
      <c r="D51" s="49" t="n"/>
      <c r="E51" s="222" t="n">
        <v>4.6753</v>
      </c>
      <c r="F51" s="210">
        <f>+D51*E51</f>
        <v/>
      </c>
      <c r="G51" s="47" t="inlineStr">
        <is>
          <t>Etapa 2, Suma alzada</t>
        </is>
      </c>
      <c r="H51" s="207" t="n"/>
    </row>
    <row r="52">
      <c r="A52" s="47" t="inlineStr">
        <is>
          <t>4.1.11</t>
        </is>
      </c>
      <c r="B52" s="214" t="inlineStr">
        <is>
          <t>Malla</t>
        </is>
      </c>
      <c r="C52" s="48" t="inlineStr">
        <is>
          <t>kg</t>
        </is>
      </c>
      <c r="D52" s="49" t="n"/>
      <c r="E52" s="222" t="n">
        <v>0.0312</v>
      </c>
      <c r="F52" s="210">
        <f>+D52*E52</f>
        <v/>
      </c>
      <c r="G52" s="47" t="inlineStr">
        <is>
          <t>Etapa 2, Suma alzada</t>
        </is>
      </c>
      <c r="H52" s="207" t="n"/>
    </row>
    <row r="53">
      <c r="A53" s="47" t="inlineStr">
        <is>
          <t>4.1.12</t>
        </is>
      </c>
      <c r="B53" s="214" t="inlineStr">
        <is>
          <t>Instalación y Monitoreo de Pernos de Convergencia</t>
        </is>
      </c>
      <c r="C53" s="48" t="inlineStr">
        <is>
          <t>und</t>
        </is>
      </c>
      <c r="D53" s="49" t="n"/>
      <c r="E53" s="222" t="n">
        <v>1.1688</v>
      </c>
      <c r="F53" s="210">
        <f>+D53*E53</f>
        <v/>
      </c>
      <c r="G53" s="47" t="inlineStr">
        <is>
          <t>Etapa 2, Suma alzada</t>
        </is>
      </c>
      <c r="H53" s="207" t="n"/>
    </row>
    <row r="54">
      <c r="A54" s="47" t="inlineStr">
        <is>
          <t>4.1.13</t>
        </is>
      </c>
      <c r="B54" s="214" t="inlineStr">
        <is>
          <t>Montaje estructura soporte de cables</t>
        </is>
      </c>
      <c r="C54" s="48" t="inlineStr">
        <is>
          <t>kg</t>
        </is>
      </c>
      <c r="D54" s="221" t="n">
        <v>500</v>
      </c>
      <c r="E54" s="222" t="n">
        <v>0.2208</v>
      </c>
      <c r="F54" s="205">
        <f>D54*E54</f>
        <v/>
      </c>
      <c r="G54" s="47" t="inlineStr">
        <is>
          <t>Etapa 2, Suma alzada</t>
        </is>
      </c>
      <c r="H54" s="207" t="n"/>
    </row>
    <row r="55">
      <c r="A55" s="47" t="inlineStr">
        <is>
          <t>4.1.14</t>
        </is>
      </c>
      <c r="B55" s="214" t="inlineStr">
        <is>
          <t>Construcción Brocal Temporal</t>
        </is>
      </c>
      <c r="C55" s="48" t="inlineStr">
        <is>
          <t>gl</t>
        </is>
      </c>
      <c r="D55" s="49" t="n"/>
      <c r="E55" s="222" t="n">
        <v>116.8831</v>
      </c>
      <c r="F55" s="210">
        <f>+D55*E55</f>
        <v/>
      </c>
      <c r="G55" s="47" t="inlineStr">
        <is>
          <t>Etapa 2, Suma alzada</t>
        </is>
      </c>
      <c r="H55" s="207" t="n"/>
    </row>
    <row r="56">
      <c r="A56" s="47" t="inlineStr">
        <is>
          <t>4.1.15</t>
        </is>
      </c>
      <c r="B56" s="214" t="inlineStr">
        <is>
          <t>Construcción Brocal Definitivo</t>
        </is>
      </c>
      <c r="C56" s="48" t="inlineStr">
        <is>
          <t>gl</t>
        </is>
      </c>
      <c r="D56" s="221" t="n">
        <v>1</v>
      </c>
      <c r="E56" s="222" t="n">
        <v>116.8831</v>
      </c>
      <c r="F56" s="205">
        <f>D56*E56</f>
        <v/>
      </c>
      <c r="G56" s="47" t="inlineStr">
        <is>
          <t>Etapa 2, Suma alzada</t>
        </is>
      </c>
      <c r="H56" s="208" t="n"/>
    </row>
    <row r="57">
      <c r="A57" s="47" t="n"/>
      <c r="B57" s="47" t="n"/>
      <c r="C57" s="48" t="n"/>
      <c r="D57" s="49" t="n"/>
      <c r="E57" s="209" t="n"/>
      <c r="F57" s="210" t="n"/>
      <c r="G57" s="62" t="n"/>
      <c r="H57" s="47" t="n"/>
    </row>
    <row r="58">
      <c r="A58" s="56" t="inlineStr">
        <is>
          <t>4.2</t>
        </is>
      </c>
      <c r="B58" s="219" t="inlineStr">
        <is>
          <t>Pique 2 Túnel Liner</t>
        </is>
      </c>
      <c r="C58" s="57" t="n"/>
      <c r="D58" s="58" t="n"/>
      <c r="E58" s="197" t="n"/>
      <c r="F58" s="220">
        <f>+SUM(F59:F73)</f>
        <v/>
      </c>
      <c r="G58" s="68" t="n"/>
      <c r="H58" s="69" t="n"/>
    </row>
    <row r="59" ht="12.75" customHeight="1">
      <c r="A59" s="47" t="inlineStr">
        <is>
          <t>4.2.1</t>
        </is>
      </c>
      <c r="B59" s="214" t="inlineStr">
        <is>
          <t>Excavación</t>
        </is>
      </c>
      <c r="C59" s="48" t="inlineStr">
        <is>
          <t>m3</t>
        </is>
      </c>
      <c r="D59" s="221" t="n">
        <v>234.61</v>
      </c>
      <c r="E59" s="222" t="n">
        <v>2.2078</v>
      </c>
      <c r="F59" s="205">
        <f>D59*E59</f>
        <v/>
      </c>
      <c r="G59" s="47" t="inlineStr">
        <is>
          <t>Etapa 2, Suma alzada</t>
        </is>
      </c>
      <c r="H59" s="168" t="inlineStr">
        <is>
          <t>5% con el cumplimiento de Condiciones contractuales, 85% por avance proporcional y 10% con la recepción provisional de la obra.</t>
        </is>
      </c>
    </row>
    <row r="60">
      <c r="A60" s="47" t="inlineStr">
        <is>
          <t>4.2.2</t>
        </is>
      </c>
      <c r="B60" s="214" t="inlineStr">
        <is>
          <t>Retiro excavación y transporte a botadero (geométrico)</t>
        </is>
      </c>
      <c r="C60" s="48" t="inlineStr">
        <is>
          <t>m3</t>
        </is>
      </c>
      <c r="D60" s="221" t="n">
        <v>234.61</v>
      </c>
      <c r="E60" s="222" t="n">
        <v>0.9091</v>
      </c>
      <c r="F60" s="205">
        <f>D60*E60</f>
        <v/>
      </c>
      <c r="G60" s="47" t="inlineStr">
        <is>
          <t>Etapa 2, Suma alzada</t>
        </is>
      </c>
      <c r="H60" s="207" t="n"/>
    </row>
    <row r="61">
      <c r="A61" s="47" t="inlineStr">
        <is>
          <t>4.2.3</t>
        </is>
      </c>
      <c r="B61" s="214" t="inlineStr">
        <is>
          <t>Montaje Liner (Incluyendo sello entre placas y mortero)</t>
        </is>
      </c>
      <c r="C61" s="48" t="inlineStr">
        <is>
          <t>m</t>
        </is>
      </c>
      <c r="D61" s="221" t="n">
        <v>18.7</v>
      </c>
      <c r="E61" s="222" t="n">
        <v>5.7143</v>
      </c>
      <c r="F61" s="205">
        <f>D61*E61</f>
        <v/>
      </c>
      <c r="G61" s="47" t="inlineStr">
        <is>
          <t>Etapa 2, Suma alzada</t>
        </is>
      </c>
      <c r="H61" s="207" t="n"/>
    </row>
    <row r="62">
      <c r="A62" s="47" t="inlineStr">
        <is>
          <t>4.2.4</t>
        </is>
      </c>
      <c r="B62" s="214" t="inlineStr">
        <is>
          <t>Refuerzo Losa Anillo Fondo de Pique</t>
        </is>
      </c>
      <c r="C62" s="48" t="inlineStr">
        <is>
          <t>gl</t>
        </is>
      </c>
      <c r="D62" s="221" t="n">
        <v>1</v>
      </c>
      <c r="E62" s="222" t="n">
        <v>72.7273</v>
      </c>
      <c r="F62" s="205">
        <f>D62*E62</f>
        <v/>
      </c>
      <c r="G62" s="47" t="inlineStr">
        <is>
          <t>Etapa 2, Suma alzada</t>
        </is>
      </c>
      <c r="H62" s="207" t="n"/>
    </row>
    <row r="63">
      <c r="A63" s="47" t="inlineStr">
        <is>
          <t>4.2.5</t>
        </is>
      </c>
      <c r="B63" s="214" t="inlineStr">
        <is>
          <t>Construcción de Dren</t>
        </is>
      </c>
      <c r="C63" s="48" t="inlineStr">
        <is>
          <t>gl</t>
        </is>
      </c>
      <c r="D63" s="221" t="n">
        <v>1</v>
      </c>
      <c r="E63" s="222" t="n">
        <v>46.7532</v>
      </c>
      <c r="F63" s="205">
        <f>D63*E63</f>
        <v/>
      </c>
      <c r="G63" s="47" t="inlineStr">
        <is>
          <t>Etapa 2, Suma alzada</t>
        </is>
      </c>
      <c r="H63" s="207" t="n"/>
    </row>
    <row r="64">
      <c r="A64" s="47" t="inlineStr">
        <is>
          <t>4.2.6</t>
        </is>
      </c>
      <c r="B64" s="214" t="inlineStr">
        <is>
          <t>Terminaciones</t>
        </is>
      </c>
      <c r="C64" s="48" t="inlineStr">
        <is>
          <t>gl</t>
        </is>
      </c>
      <c r="D64" s="221" t="n">
        <v>1</v>
      </c>
      <c r="E64" s="222" t="n">
        <v>38.961</v>
      </c>
      <c r="F64" s="205">
        <f>D64*E64</f>
        <v/>
      </c>
      <c r="G64" s="47" t="inlineStr">
        <is>
          <t>Etapa 2, Suma alzada</t>
        </is>
      </c>
      <c r="H64" s="207" t="n"/>
    </row>
    <row r="65">
      <c r="A65" s="47" t="inlineStr">
        <is>
          <t>4.2.7</t>
        </is>
      </c>
      <c r="B65" s="214" t="inlineStr">
        <is>
          <t>Cobertura Pique</t>
        </is>
      </c>
      <c r="C65" s="48" t="inlineStr">
        <is>
          <t>gl</t>
        </is>
      </c>
      <c r="D65" s="221" t="n">
        <v>1</v>
      </c>
      <c r="E65" s="222" t="n">
        <v>90.9091</v>
      </c>
      <c r="F65" s="205">
        <f>D65*E65</f>
        <v/>
      </c>
      <c r="G65" s="47" t="inlineStr">
        <is>
          <t>Etapa 2, Suma alzada</t>
        </is>
      </c>
      <c r="H65" s="207" t="n"/>
    </row>
    <row r="66">
      <c r="A66" s="47" t="inlineStr">
        <is>
          <t>4.2.8</t>
        </is>
      </c>
      <c r="B66" s="223" t="inlineStr">
        <is>
          <t>Montaje de Escalas y Plataforma</t>
        </is>
      </c>
      <c r="C66" s="48" t="inlineStr">
        <is>
          <t>gl</t>
        </is>
      </c>
      <c r="D66" s="221" t="n">
        <v>1</v>
      </c>
      <c r="E66" s="222" t="n">
        <v>83.1169</v>
      </c>
      <c r="F66" s="205">
        <f>D66*E66</f>
        <v/>
      </c>
      <c r="G66" s="47" t="inlineStr">
        <is>
          <t>Etapa 2, Suma alzada</t>
        </is>
      </c>
      <c r="H66" s="207" t="n"/>
    </row>
    <row r="67">
      <c r="A67" s="47" t="inlineStr">
        <is>
          <t>4.2.9</t>
        </is>
      </c>
      <c r="B67" s="214" t="inlineStr">
        <is>
          <t>Refuerzo Apertura Pique</t>
        </is>
      </c>
      <c r="C67" s="48" t="inlineStr">
        <is>
          <t>gl</t>
        </is>
      </c>
      <c r="D67" s="221" t="n">
        <v>1</v>
      </c>
      <c r="E67" s="222" t="n">
        <v>57.1429</v>
      </c>
      <c r="F67" s="205">
        <f>D67*E67</f>
        <v/>
      </c>
      <c r="G67" s="47" t="inlineStr">
        <is>
          <t>Etapa 2, Suma alzada</t>
        </is>
      </c>
      <c r="H67" s="207" t="n"/>
    </row>
    <row r="68">
      <c r="A68" s="47" t="inlineStr">
        <is>
          <t>4.2.10</t>
        </is>
      </c>
      <c r="B68" s="214" t="inlineStr">
        <is>
          <t>Shotcrete</t>
        </is>
      </c>
      <c r="C68" s="48" t="inlineStr">
        <is>
          <t>m3</t>
        </is>
      </c>
      <c r="D68" s="49" t="n"/>
      <c r="E68" s="222" t="n">
        <v>4.6753</v>
      </c>
      <c r="F68" s="210">
        <f>+D68*E68</f>
        <v/>
      </c>
      <c r="G68" s="47" t="inlineStr">
        <is>
          <t>Etapa 2, Suma alzada</t>
        </is>
      </c>
      <c r="H68" s="207" t="n"/>
    </row>
    <row r="69">
      <c r="A69" s="47" t="inlineStr">
        <is>
          <t>4.2.11</t>
        </is>
      </c>
      <c r="B69" s="214" t="inlineStr">
        <is>
          <t>Malla</t>
        </is>
      </c>
      <c r="C69" s="48" t="inlineStr">
        <is>
          <t>kg</t>
        </is>
      </c>
      <c r="D69" s="49" t="n"/>
      <c r="E69" s="222" t="n">
        <v>0.0312</v>
      </c>
      <c r="F69" s="210">
        <f>+D69*E69</f>
        <v/>
      </c>
      <c r="G69" s="47" t="inlineStr">
        <is>
          <t>Etapa 2, Suma alzada</t>
        </is>
      </c>
      <c r="H69" s="207" t="n"/>
    </row>
    <row r="70">
      <c r="A70" s="47" t="inlineStr">
        <is>
          <t>4.2.12</t>
        </is>
      </c>
      <c r="B70" s="214" t="inlineStr">
        <is>
          <t>Instalación y Monitoreo de Pernos de Convergencia</t>
        </is>
      </c>
      <c r="C70" s="48" t="inlineStr">
        <is>
          <t>und</t>
        </is>
      </c>
      <c r="D70" s="49" t="n"/>
      <c r="E70" s="222" t="n">
        <v>1.1688</v>
      </c>
      <c r="F70" s="210">
        <f>+D70*E70</f>
        <v/>
      </c>
      <c r="G70" s="47" t="inlineStr">
        <is>
          <t>Etapa 2, Suma alzada</t>
        </is>
      </c>
      <c r="H70" s="207" t="n"/>
    </row>
    <row r="71">
      <c r="A71" s="47" t="inlineStr">
        <is>
          <t>4.2.13</t>
        </is>
      </c>
      <c r="B71" s="214" t="inlineStr">
        <is>
          <t>Construcción Brocal Temporal</t>
        </is>
      </c>
      <c r="C71" s="48" t="inlineStr">
        <is>
          <t>gl</t>
        </is>
      </c>
      <c r="D71" s="49" t="n"/>
      <c r="E71" s="222" t="n">
        <v>0.2208</v>
      </c>
      <c r="F71" s="210">
        <f>+D71*E71</f>
        <v/>
      </c>
      <c r="G71" s="47" t="inlineStr">
        <is>
          <t>Etapa 2, Suma alzada</t>
        </is>
      </c>
      <c r="H71" s="207" t="n"/>
    </row>
    <row r="72">
      <c r="A72" s="47" t="inlineStr">
        <is>
          <t>4.2.14</t>
        </is>
      </c>
      <c r="B72" s="214" t="inlineStr">
        <is>
          <t>Construcción Brocal Definitivo</t>
        </is>
      </c>
      <c r="C72" s="48" t="inlineStr">
        <is>
          <t>gl</t>
        </is>
      </c>
      <c r="D72" s="221" t="n">
        <v>1</v>
      </c>
      <c r="E72" s="222" t="n">
        <v>116.8831</v>
      </c>
      <c r="F72" s="205">
        <f>D72*E72</f>
        <v/>
      </c>
      <c r="G72" s="47" t="inlineStr">
        <is>
          <t>Etapa 2, Suma alzada</t>
        </is>
      </c>
      <c r="H72" s="208" t="n"/>
    </row>
    <row r="73">
      <c r="A73" s="47" t="n"/>
      <c r="B73" s="47" t="n"/>
      <c r="C73" s="48" t="n"/>
      <c r="D73" s="49" t="n"/>
      <c r="E73" s="209" t="n"/>
      <c r="F73" s="210" t="n"/>
      <c r="G73" s="62" t="n"/>
      <c r="H73" s="47" t="n"/>
    </row>
    <row r="74">
      <c r="A74" s="56" t="inlineStr">
        <is>
          <t>4.3</t>
        </is>
      </c>
      <c r="B74" s="219" t="inlineStr">
        <is>
          <t>Pique 3 Túnel Liner</t>
        </is>
      </c>
      <c r="C74" s="57" t="n"/>
      <c r="D74" s="58" t="n"/>
      <c r="E74" s="197" t="n"/>
      <c r="F74" s="220">
        <f>+SUM(F75:F89)</f>
        <v/>
      </c>
      <c r="G74" s="68" t="n"/>
      <c r="H74" s="69" t="n"/>
    </row>
    <row r="75" ht="12.75" customHeight="1">
      <c r="A75" s="47" t="inlineStr">
        <is>
          <t>4.3.1</t>
        </is>
      </c>
      <c r="B75" s="214" t="inlineStr">
        <is>
          <t>Excavación</t>
        </is>
      </c>
      <c r="C75" s="48" t="inlineStr">
        <is>
          <t>m3</t>
        </is>
      </c>
      <c r="D75" s="221" t="n">
        <v>217.4</v>
      </c>
      <c r="E75" s="222" t="n">
        <v>2.2078</v>
      </c>
      <c r="F75" s="205">
        <f>D75*E75</f>
        <v/>
      </c>
      <c r="G75" s="47" t="inlineStr">
        <is>
          <t>Etapa 2, Suma alzada</t>
        </is>
      </c>
      <c r="H75" s="168" t="inlineStr">
        <is>
          <t>5% con el cumplimiento de Condiciones contractuales, 85% por avance proporcional y 10% con la recepción provisional de la obra.</t>
        </is>
      </c>
    </row>
    <row r="76">
      <c r="A76" s="47" t="inlineStr">
        <is>
          <t>4.3.2</t>
        </is>
      </c>
      <c r="B76" s="214" t="inlineStr">
        <is>
          <t>Retiro excavación y transporte a botadero (geométrico)</t>
        </is>
      </c>
      <c r="C76" s="48" t="inlineStr">
        <is>
          <t>m3</t>
        </is>
      </c>
      <c r="D76" s="221" t="n">
        <v>217.4</v>
      </c>
      <c r="E76" s="222" t="n">
        <v>0.9091</v>
      </c>
      <c r="F76" s="205">
        <f>D76*E76</f>
        <v/>
      </c>
      <c r="G76" s="47" t="inlineStr">
        <is>
          <t>Etapa 2, Suma alzada</t>
        </is>
      </c>
      <c r="H76" s="207" t="n"/>
    </row>
    <row r="77">
      <c r="A77" s="47" t="inlineStr">
        <is>
          <t>4.3.3</t>
        </is>
      </c>
      <c r="B77" s="214" t="inlineStr">
        <is>
          <t>Montaje Liner (Incluyendo sello entre placas y mortero)</t>
        </is>
      </c>
      <c r="C77" s="48" t="inlineStr">
        <is>
          <t>m</t>
        </is>
      </c>
      <c r="D77" s="221" t="n">
        <v>17.3</v>
      </c>
      <c r="E77" s="222" t="n">
        <v>5.7143</v>
      </c>
      <c r="F77" s="205">
        <f>D77*E77</f>
        <v/>
      </c>
      <c r="G77" s="47" t="inlineStr">
        <is>
          <t>Etapa 2, Suma alzada</t>
        </is>
      </c>
      <c r="H77" s="207" t="n"/>
    </row>
    <row r="78">
      <c r="A78" s="47" t="inlineStr">
        <is>
          <t>4.3.4</t>
        </is>
      </c>
      <c r="B78" s="214" t="inlineStr">
        <is>
          <t>Refuerzo Losa Anillo Fondo de Pique</t>
        </is>
      </c>
      <c r="C78" s="48" t="inlineStr">
        <is>
          <t>gl</t>
        </is>
      </c>
      <c r="D78" s="221" t="n">
        <v>1</v>
      </c>
      <c r="E78" s="222" t="n">
        <v>72.7273</v>
      </c>
      <c r="F78" s="205">
        <f>D78*E78</f>
        <v/>
      </c>
      <c r="G78" s="47" t="inlineStr">
        <is>
          <t>Etapa 2, Suma alzada</t>
        </is>
      </c>
      <c r="H78" s="207" t="n"/>
    </row>
    <row r="79">
      <c r="A79" s="47" t="inlineStr">
        <is>
          <t>4.3.5</t>
        </is>
      </c>
      <c r="B79" s="214" t="inlineStr">
        <is>
          <t>Construcción de Dren</t>
        </is>
      </c>
      <c r="C79" s="48" t="inlineStr">
        <is>
          <t>gl</t>
        </is>
      </c>
      <c r="D79" s="221" t="n">
        <v>1</v>
      </c>
      <c r="E79" s="222" t="n">
        <v>46.7532</v>
      </c>
      <c r="F79" s="205">
        <f>D79*E79</f>
        <v/>
      </c>
      <c r="G79" s="47" t="inlineStr">
        <is>
          <t>Etapa 2, Suma alzada</t>
        </is>
      </c>
      <c r="H79" s="207" t="n"/>
    </row>
    <row r="80">
      <c r="A80" s="47" t="inlineStr">
        <is>
          <t>4.3.6</t>
        </is>
      </c>
      <c r="B80" s="214" t="inlineStr">
        <is>
          <t>Terminaciones</t>
        </is>
      </c>
      <c r="C80" s="48" t="inlineStr">
        <is>
          <t>gl</t>
        </is>
      </c>
      <c r="D80" s="221" t="n">
        <v>1</v>
      </c>
      <c r="E80" s="222" t="n">
        <v>38.961</v>
      </c>
      <c r="F80" s="205">
        <f>D80*E80</f>
        <v/>
      </c>
      <c r="G80" s="47" t="inlineStr">
        <is>
          <t>Etapa 2, Suma alzada</t>
        </is>
      </c>
      <c r="H80" s="207" t="n"/>
    </row>
    <row r="81">
      <c r="A81" s="47" t="inlineStr">
        <is>
          <t>4.3.7</t>
        </is>
      </c>
      <c r="B81" s="214" t="inlineStr">
        <is>
          <t>Cobertura Pique</t>
        </is>
      </c>
      <c r="C81" s="48" t="inlineStr">
        <is>
          <t>gl</t>
        </is>
      </c>
      <c r="D81" s="221" t="n">
        <v>1</v>
      </c>
      <c r="E81" s="222" t="n">
        <v>90.9091</v>
      </c>
      <c r="F81" s="205">
        <f>D81*E81</f>
        <v/>
      </c>
      <c r="G81" s="47" t="inlineStr">
        <is>
          <t>Etapa 2, Suma alzada</t>
        </is>
      </c>
      <c r="H81" s="207" t="n"/>
    </row>
    <row r="82">
      <c r="A82" s="47" t="inlineStr">
        <is>
          <t>4.3.8</t>
        </is>
      </c>
      <c r="B82" s="223" t="inlineStr">
        <is>
          <t>Montaje de Escalas y Plataforma</t>
        </is>
      </c>
      <c r="C82" s="48" t="inlineStr">
        <is>
          <t>gl</t>
        </is>
      </c>
      <c r="D82" s="221" t="n">
        <v>1</v>
      </c>
      <c r="E82" s="222" t="n">
        <v>83.1169</v>
      </c>
      <c r="F82" s="205">
        <f>D82*E82</f>
        <v/>
      </c>
      <c r="G82" s="47" t="inlineStr">
        <is>
          <t>Etapa 2, Suma alzada</t>
        </is>
      </c>
      <c r="H82" s="207" t="n"/>
    </row>
    <row r="83">
      <c r="A83" s="47" t="inlineStr">
        <is>
          <t>4.3.9</t>
        </is>
      </c>
      <c r="B83" s="214" t="inlineStr">
        <is>
          <t>Refuerzo Apertura Pique</t>
        </is>
      </c>
      <c r="C83" s="48" t="inlineStr">
        <is>
          <t>gl</t>
        </is>
      </c>
      <c r="D83" s="221" t="n">
        <v>1</v>
      </c>
      <c r="E83" s="222" t="n">
        <v>57.1429</v>
      </c>
      <c r="F83" s="205">
        <f>D83*E83</f>
        <v/>
      </c>
      <c r="G83" s="47" t="inlineStr">
        <is>
          <t>Etapa 2, Suma alzada</t>
        </is>
      </c>
      <c r="H83" s="207" t="n"/>
    </row>
    <row r="84">
      <c r="A84" s="47" t="inlineStr">
        <is>
          <t>4.3.10</t>
        </is>
      </c>
      <c r="B84" s="214" t="inlineStr">
        <is>
          <t>Shotcrete</t>
        </is>
      </c>
      <c r="C84" s="48" t="inlineStr">
        <is>
          <t>m3</t>
        </is>
      </c>
      <c r="D84" s="49" t="n"/>
      <c r="E84" s="222" t="n">
        <v>4.6753</v>
      </c>
      <c r="F84" s="210">
        <f>+D84*E84</f>
        <v/>
      </c>
      <c r="G84" s="47" t="inlineStr">
        <is>
          <t>Etapa 2, Suma alzada</t>
        </is>
      </c>
      <c r="H84" s="207" t="n"/>
    </row>
    <row r="85">
      <c r="A85" s="47" t="inlineStr">
        <is>
          <t>4.3.11</t>
        </is>
      </c>
      <c r="B85" s="214" t="inlineStr">
        <is>
          <t>Malla</t>
        </is>
      </c>
      <c r="C85" s="48" t="inlineStr">
        <is>
          <t>kg</t>
        </is>
      </c>
      <c r="D85" s="49" t="n"/>
      <c r="E85" s="222" t="n">
        <v>0.0312</v>
      </c>
      <c r="F85" s="210">
        <f>+D85*E85</f>
        <v/>
      </c>
      <c r="G85" s="47" t="inlineStr">
        <is>
          <t>Etapa 2, Suma alzada</t>
        </is>
      </c>
      <c r="H85" s="207" t="n"/>
    </row>
    <row r="86">
      <c r="A86" s="47" t="inlineStr">
        <is>
          <t>4.3.12</t>
        </is>
      </c>
      <c r="B86" s="214" t="inlineStr">
        <is>
          <t>Instalación y Monitoreo de Pernos de Convergencia</t>
        </is>
      </c>
      <c r="C86" s="48" t="inlineStr">
        <is>
          <t>und</t>
        </is>
      </c>
      <c r="D86" s="49" t="n"/>
      <c r="E86" s="222" t="n">
        <v>1.1688</v>
      </c>
      <c r="F86" s="210">
        <f>+D86*E86</f>
        <v/>
      </c>
      <c r="G86" s="47" t="inlineStr">
        <is>
          <t>Etapa 2, Suma alzada</t>
        </is>
      </c>
      <c r="H86" s="207" t="n"/>
    </row>
    <row r="87">
      <c r="A87" s="47" t="inlineStr">
        <is>
          <t>4.3.13</t>
        </is>
      </c>
      <c r="B87" s="214" t="inlineStr">
        <is>
          <t>Construcción Brocal Temporal</t>
        </is>
      </c>
      <c r="C87" s="48" t="inlineStr">
        <is>
          <t>gl</t>
        </is>
      </c>
      <c r="D87" s="49" t="n"/>
      <c r="E87" s="222" t="n">
        <v>0.2208</v>
      </c>
      <c r="F87" s="210">
        <f>+D87*E87</f>
        <v/>
      </c>
      <c r="G87" s="47" t="inlineStr">
        <is>
          <t>Etapa 2, Suma alzada</t>
        </is>
      </c>
      <c r="H87" s="207" t="n"/>
    </row>
    <row r="88">
      <c r="A88" s="47" t="inlineStr">
        <is>
          <t>4.3.14</t>
        </is>
      </c>
      <c r="B88" s="214" t="inlineStr">
        <is>
          <t>Construcción Brocal Definitivo</t>
        </is>
      </c>
      <c r="C88" s="48" t="inlineStr">
        <is>
          <t>gl</t>
        </is>
      </c>
      <c r="D88" s="221" t="n">
        <v>1</v>
      </c>
      <c r="E88" s="222" t="n">
        <v>116.8831</v>
      </c>
      <c r="F88" s="205">
        <f>D88*E88</f>
        <v/>
      </c>
      <c r="G88" s="47" t="inlineStr">
        <is>
          <t>Etapa 2, Suma alzada</t>
        </is>
      </c>
      <c r="H88" s="208" t="n"/>
    </row>
    <row r="89">
      <c r="A89" s="47" t="n"/>
      <c r="B89" s="47" t="n"/>
      <c r="C89" s="48" t="n"/>
      <c r="D89" s="49" t="n"/>
      <c r="E89" s="209" t="n"/>
      <c r="F89" s="210" t="n"/>
      <c r="G89" s="62" t="n"/>
      <c r="H89" s="47" t="n"/>
    </row>
    <row r="90">
      <c r="A90" s="56" t="inlineStr">
        <is>
          <t>4.4</t>
        </is>
      </c>
      <c r="B90" s="219" t="inlineStr">
        <is>
          <t>Pique 4 Túnel Liner</t>
        </is>
      </c>
      <c r="C90" s="57" t="n"/>
      <c r="D90" s="58" t="n"/>
      <c r="E90" s="197" t="n"/>
      <c r="F90" s="220">
        <f>+SUM(F91:F105)</f>
        <v/>
      </c>
      <c r="G90" s="68" t="n"/>
      <c r="H90" s="69" t="n"/>
    </row>
    <row r="91" ht="12.75" customHeight="1">
      <c r="A91" s="47" t="inlineStr">
        <is>
          <t>4.4.1</t>
        </is>
      </c>
      <c r="B91" s="214" t="inlineStr">
        <is>
          <t>Excavación</t>
        </is>
      </c>
      <c r="C91" s="48" t="inlineStr">
        <is>
          <t>m3</t>
        </is>
      </c>
      <c r="D91" s="221" t="n">
        <v>188.24</v>
      </c>
      <c r="E91" s="222" t="n">
        <v>2.2078</v>
      </c>
      <c r="F91" s="205">
        <f>D91*E91</f>
        <v/>
      </c>
      <c r="G91" s="47" t="inlineStr">
        <is>
          <t>Etapa 2, Suma alzada</t>
        </is>
      </c>
      <c r="H91" s="168" t="inlineStr">
        <is>
          <t>5% con el cumplimiento de Condiciones contractuales, 85% por avance proporcional y 10% con la recepción provisional de la obra.</t>
        </is>
      </c>
    </row>
    <row r="92">
      <c r="A92" s="47" t="inlineStr">
        <is>
          <t>4.4.2</t>
        </is>
      </c>
      <c r="B92" s="214" t="inlineStr">
        <is>
          <t>Retiro excavación y transporte a botadero (geométrico)</t>
        </is>
      </c>
      <c r="C92" s="48" t="inlineStr">
        <is>
          <t>m3</t>
        </is>
      </c>
      <c r="D92" s="221" t="n">
        <v>188.24</v>
      </c>
      <c r="E92" s="222" t="n">
        <v>0.9091</v>
      </c>
      <c r="F92" s="205">
        <f>D92*E92</f>
        <v/>
      </c>
      <c r="G92" s="47" t="inlineStr">
        <is>
          <t>Etapa 2, Suma alzada</t>
        </is>
      </c>
      <c r="H92" s="207" t="n"/>
    </row>
    <row r="93">
      <c r="A93" s="47" t="inlineStr">
        <is>
          <t>4.4.3</t>
        </is>
      </c>
      <c r="B93" s="214" t="inlineStr">
        <is>
          <t>Montaje Liner (Incluyendo sello entre placas y mortero)</t>
        </is>
      </c>
      <c r="C93" s="48" t="inlineStr">
        <is>
          <t>m</t>
        </is>
      </c>
      <c r="D93" s="221" t="n">
        <v>15</v>
      </c>
      <c r="E93" s="222" t="n">
        <v>5.7143</v>
      </c>
      <c r="F93" s="205">
        <f>D93*E93</f>
        <v/>
      </c>
      <c r="G93" s="47" t="inlineStr">
        <is>
          <t>Etapa 2, Suma alzada</t>
        </is>
      </c>
      <c r="H93" s="207" t="n"/>
    </row>
    <row r="94">
      <c r="A94" s="47" t="inlineStr">
        <is>
          <t>4.4.4</t>
        </is>
      </c>
      <c r="B94" s="214" t="inlineStr">
        <is>
          <t>Refuerzo Losa Anillo Fondo de Pique</t>
        </is>
      </c>
      <c r="C94" s="48" t="inlineStr">
        <is>
          <t>gl</t>
        </is>
      </c>
      <c r="D94" s="221" t="n">
        <v>1</v>
      </c>
      <c r="E94" s="222" t="n">
        <v>72.7273</v>
      </c>
      <c r="F94" s="205">
        <f>D94*E94</f>
        <v/>
      </c>
      <c r="G94" s="47" t="inlineStr">
        <is>
          <t>Etapa 2, Suma alzada</t>
        </is>
      </c>
      <c r="H94" s="207" t="n"/>
    </row>
    <row r="95">
      <c r="A95" s="47" t="inlineStr">
        <is>
          <t>4.4.5</t>
        </is>
      </c>
      <c r="B95" s="214" t="inlineStr">
        <is>
          <t>Construcción de Dren</t>
        </is>
      </c>
      <c r="C95" s="48" t="inlineStr">
        <is>
          <t>gl</t>
        </is>
      </c>
      <c r="D95" s="221" t="n">
        <v>1</v>
      </c>
      <c r="E95" s="222" t="n">
        <v>46.7532</v>
      </c>
      <c r="F95" s="205">
        <f>D95*E95</f>
        <v/>
      </c>
      <c r="G95" s="47" t="inlineStr">
        <is>
          <t>Etapa 2, Suma alzada</t>
        </is>
      </c>
      <c r="H95" s="207" t="n"/>
    </row>
    <row r="96">
      <c r="A96" s="47" t="inlineStr">
        <is>
          <t>4.4.6</t>
        </is>
      </c>
      <c r="B96" s="214" t="inlineStr">
        <is>
          <t>Terminaciones</t>
        </is>
      </c>
      <c r="C96" s="48" t="inlineStr">
        <is>
          <t>gl</t>
        </is>
      </c>
      <c r="D96" s="221" t="n">
        <v>1</v>
      </c>
      <c r="E96" s="222" t="n">
        <v>38.961</v>
      </c>
      <c r="F96" s="205">
        <f>D96*E96</f>
        <v/>
      </c>
      <c r="G96" s="47" t="inlineStr">
        <is>
          <t>Etapa 2, Suma alzada</t>
        </is>
      </c>
      <c r="H96" s="207" t="n"/>
    </row>
    <row r="97">
      <c r="A97" s="47" t="inlineStr">
        <is>
          <t>4.4.7</t>
        </is>
      </c>
      <c r="B97" s="214" t="inlineStr">
        <is>
          <t>Cobertura Pique</t>
        </is>
      </c>
      <c r="C97" s="48" t="inlineStr">
        <is>
          <t>gl</t>
        </is>
      </c>
      <c r="D97" s="221" t="n">
        <v>1</v>
      </c>
      <c r="E97" s="222" t="n">
        <v>90.9091</v>
      </c>
      <c r="F97" s="205">
        <f>D97*E97</f>
        <v/>
      </c>
      <c r="G97" s="47" t="inlineStr">
        <is>
          <t>Etapa 2, Suma alzada</t>
        </is>
      </c>
      <c r="H97" s="207" t="n"/>
    </row>
    <row r="98">
      <c r="A98" s="47" t="inlineStr">
        <is>
          <t>4.4.8</t>
        </is>
      </c>
      <c r="B98" s="223" t="inlineStr">
        <is>
          <t>Montaje de Escalas y Plataforma</t>
        </is>
      </c>
      <c r="C98" s="48" t="inlineStr">
        <is>
          <t>gl</t>
        </is>
      </c>
      <c r="D98" s="221" t="n">
        <v>1</v>
      </c>
      <c r="E98" s="222" t="n">
        <v>83.1169</v>
      </c>
      <c r="F98" s="205">
        <f>D98*E98</f>
        <v/>
      </c>
      <c r="G98" s="47" t="inlineStr">
        <is>
          <t>Etapa 2, Suma alzada</t>
        </is>
      </c>
      <c r="H98" s="207" t="n"/>
    </row>
    <row r="99">
      <c r="A99" s="47" t="inlineStr">
        <is>
          <t>4.4.9</t>
        </is>
      </c>
      <c r="B99" s="214" t="inlineStr">
        <is>
          <t>Refuerzo Apertura Pique</t>
        </is>
      </c>
      <c r="C99" s="48" t="inlineStr">
        <is>
          <t>gl</t>
        </is>
      </c>
      <c r="D99" s="221" t="n">
        <v>1</v>
      </c>
      <c r="E99" s="222" t="n">
        <v>57.1429</v>
      </c>
      <c r="F99" s="205">
        <f>D99*E99</f>
        <v/>
      </c>
      <c r="G99" s="47" t="inlineStr">
        <is>
          <t>Etapa 2, Suma alzada</t>
        </is>
      </c>
      <c r="H99" s="207" t="n"/>
    </row>
    <row r="100">
      <c r="A100" s="47" t="inlineStr">
        <is>
          <t>4.4.10</t>
        </is>
      </c>
      <c r="B100" s="214" t="inlineStr">
        <is>
          <t>Shotcrete</t>
        </is>
      </c>
      <c r="C100" s="48" t="inlineStr">
        <is>
          <t>m3</t>
        </is>
      </c>
      <c r="D100" s="49" t="n"/>
      <c r="E100" s="222" t="n">
        <v>4.6753</v>
      </c>
      <c r="F100" s="210">
        <f>+D100*E100</f>
        <v/>
      </c>
      <c r="G100" s="47" t="inlineStr">
        <is>
          <t>Etapa 2, Suma alzada</t>
        </is>
      </c>
      <c r="H100" s="207" t="n"/>
    </row>
    <row r="101">
      <c r="A101" s="47" t="inlineStr">
        <is>
          <t>4.4.11</t>
        </is>
      </c>
      <c r="B101" s="214" t="inlineStr">
        <is>
          <t>Malla</t>
        </is>
      </c>
      <c r="C101" s="48" t="inlineStr">
        <is>
          <t>kg</t>
        </is>
      </c>
      <c r="D101" s="49" t="n"/>
      <c r="E101" s="222" t="n">
        <v>0.0312</v>
      </c>
      <c r="F101" s="210">
        <f>+D101*E101</f>
        <v/>
      </c>
      <c r="G101" s="47" t="inlineStr">
        <is>
          <t>Etapa 2, Suma alzada</t>
        </is>
      </c>
      <c r="H101" s="207" t="n"/>
    </row>
    <row r="102">
      <c r="A102" s="47" t="inlineStr">
        <is>
          <t>4.4.12</t>
        </is>
      </c>
      <c r="B102" s="214" t="inlineStr">
        <is>
          <t>Instalación y Monitoreo de Pernos de Convergencia</t>
        </is>
      </c>
      <c r="C102" s="48" t="inlineStr">
        <is>
          <t>und</t>
        </is>
      </c>
      <c r="D102" s="49" t="n"/>
      <c r="E102" s="222" t="n">
        <v>1.1688</v>
      </c>
      <c r="F102" s="210">
        <f>+D102*E102</f>
        <v/>
      </c>
      <c r="G102" s="47" t="inlineStr">
        <is>
          <t>Etapa 2, Suma alzada</t>
        </is>
      </c>
      <c r="H102" s="207" t="n"/>
    </row>
    <row r="103">
      <c r="A103" s="47" t="inlineStr">
        <is>
          <t>4.4.13</t>
        </is>
      </c>
      <c r="B103" s="214" t="inlineStr">
        <is>
          <t>Construcción Brocal Temporal</t>
        </is>
      </c>
      <c r="C103" s="48" t="inlineStr">
        <is>
          <t>gl</t>
        </is>
      </c>
      <c r="D103" s="49" t="n"/>
      <c r="E103" s="222" t="n">
        <v>0.2208</v>
      </c>
      <c r="F103" s="210">
        <f>+D103*E103</f>
        <v/>
      </c>
      <c r="G103" s="47" t="inlineStr">
        <is>
          <t>Etapa 2, Suma alzada</t>
        </is>
      </c>
      <c r="H103" s="207" t="n"/>
    </row>
    <row r="104">
      <c r="A104" s="47" t="inlineStr">
        <is>
          <t>4.4.14</t>
        </is>
      </c>
      <c r="B104" s="214" t="inlineStr">
        <is>
          <t>Construcción Brocal Definitivo</t>
        </is>
      </c>
      <c r="C104" s="48" t="inlineStr">
        <is>
          <t>gl</t>
        </is>
      </c>
      <c r="D104" s="221" t="n">
        <v>1</v>
      </c>
      <c r="E104" s="222" t="n">
        <v>116.8831</v>
      </c>
      <c r="F104" s="205">
        <f>D104*E104</f>
        <v/>
      </c>
      <c r="G104" s="47" t="inlineStr">
        <is>
          <t>Etapa 2, Suma alzada</t>
        </is>
      </c>
      <c r="H104" s="208" t="n"/>
    </row>
    <row r="105">
      <c r="A105" s="47" t="n"/>
      <c r="B105" s="47" t="n"/>
      <c r="C105" s="48" t="n"/>
      <c r="D105" s="49" t="n"/>
      <c r="E105" s="209" t="n"/>
      <c r="F105" s="210" t="n"/>
      <c r="G105" s="62" t="n"/>
      <c r="H105" s="47" t="n"/>
    </row>
    <row r="106">
      <c r="A106" s="56" t="inlineStr">
        <is>
          <t>4.5</t>
        </is>
      </c>
      <c r="B106" s="219" t="inlineStr">
        <is>
          <t>Pique 5 Túnel Liner</t>
        </is>
      </c>
      <c r="C106" s="57" t="n"/>
      <c r="D106" s="58" t="n"/>
      <c r="E106" s="197" t="n"/>
      <c r="F106" s="220">
        <f>+SUM(F107:F121)</f>
        <v/>
      </c>
      <c r="G106" s="68" t="n"/>
      <c r="H106" s="69" t="n"/>
    </row>
    <row r="107" ht="12.75" customHeight="1">
      <c r="A107" s="47" t="inlineStr">
        <is>
          <t>4.5.1</t>
        </is>
      </c>
      <c r="B107" s="214" t="inlineStr">
        <is>
          <t>Excavación</t>
        </is>
      </c>
      <c r="C107" s="48" t="inlineStr">
        <is>
          <t>m3</t>
        </is>
      </c>
      <c r="D107" s="221" t="n">
        <v>191.51</v>
      </c>
      <c r="E107" s="222" t="n">
        <v>2.2078</v>
      </c>
      <c r="F107" s="205">
        <f>D107*E107</f>
        <v/>
      </c>
      <c r="G107" s="47" t="inlineStr">
        <is>
          <t>Etapa 2, Suma alzada</t>
        </is>
      </c>
      <c r="H107" s="168" t="inlineStr">
        <is>
          <t>5% con el cumplimiento de Condiciones contractuales, 85% por avance proporcional y 10% con la recepción provisional de la obra.</t>
        </is>
      </c>
    </row>
    <row r="108">
      <c r="A108" s="47" t="inlineStr">
        <is>
          <t>4.5.2</t>
        </is>
      </c>
      <c r="B108" s="214" t="inlineStr">
        <is>
          <t>Retiro excavación y transporte a botadero (geométrico)</t>
        </is>
      </c>
      <c r="C108" s="48" t="inlineStr">
        <is>
          <t>m3</t>
        </is>
      </c>
      <c r="D108" s="221" t="n">
        <v>191.51</v>
      </c>
      <c r="E108" s="222" t="n">
        <v>0.9091</v>
      </c>
      <c r="F108" s="205">
        <f>D108*E108</f>
        <v/>
      </c>
      <c r="G108" s="47" t="inlineStr">
        <is>
          <t>Etapa 2, Suma alzada</t>
        </is>
      </c>
      <c r="H108" s="207" t="n"/>
    </row>
    <row r="109">
      <c r="A109" s="47" t="inlineStr">
        <is>
          <t>4.5.3</t>
        </is>
      </c>
      <c r="B109" s="214" t="inlineStr">
        <is>
          <t>Montaje Liner (Incluyendo sello entre placas y mortero)</t>
        </is>
      </c>
      <c r="C109" s="48" t="inlineStr">
        <is>
          <t>m</t>
        </is>
      </c>
      <c r="D109" s="221" t="n">
        <v>15.2</v>
      </c>
      <c r="E109" s="222" t="n">
        <v>5.7143</v>
      </c>
      <c r="F109" s="205">
        <f>D109*E109</f>
        <v/>
      </c>
      <c r="G109" s="47" t="inlineStr">
        <is>
          <t>Etapa 2, Suma alzada</t>
        </is>
      </c>
      <c r="H109" s="207" t="n"/>
    </row>
    <row r="110">
      <c r="A110" s="47" t="inlineStr">
        <is>
          <t>4.5.4</t>
        </is>
      </c>
      <c r="B110" s="214" t="inlineStr">
        <is>
          <t>Refuerzo Losa Anillo Fondo de Pique</t>
        </is>
      </c>
      <c r="C110" s="48" t="inlineStr">
        <is>
          <t>gl</t>
        </is>
      </c>
      <c r="D110" s="221" t="n">
        <v>1</v>
      </c>
      <c r="E110" s="222" t="n">
        <v>72.7273</v>
      </c>
      <c r="F110" s="205">
        <f>D110*E110</f>
        <v/>
      </c>
      <c r="G110" s="47" t="inlineStr">
        <is>
          <t>Etapa 2, Suma alzada</t>
        </is>
      </c>
      <c r="H110" s="207" t="n"/>
    </row>
    <row r="111">
      <c r="A111" s="47" t="inlineStr">
        <is>
          <t>4.5.5</t>
        </is>
      </c>
      <c r="B111" s="214" t="inlineStr">
        <is>
          <t>Construcción de Dren</t>
        </is>
      </c>
      <c r="C111" s="48" t="inlineStr">
        <is>
          <t>gl</t>
        </is>
      </c>
      <c r="D111" s="221" t="n">
        <v>1</v>
      </c>
      <c r="E111" s="222" t="n">
        <v>46.7532</v>
      </c>
      <c r="F111" s="205">
        <f>D111*E111</f>
        <v/>
      </c>
      <c r="G111" s="47" t="inlineStr">
        <is>
          <t>Etapa 2, Suma alzada</t>
        </is>
      </c>
      <c r="H111" s="207" t="n"/>
    </row>
    <row r="112">
      <c r="A112" s="47" t="inlineStr">
        <is>
          <t>4.5.6</t>
        </is>
      </c>
      <c r="B112" s="214" t="inlineStr">
        <is>
          <t>Terminaciones</t>
        </is>
      </c>
      <c r="C112" s="48" t="inlineStr">
        <is>
          <t>gl</t>
        </is>
      </c>
      <c r="D112" s="221" t="n">
        <v>1</v>
      </c>
      <c r="E112" s="222" t="n">
        <v>38.961</v>
      </c>
      <c r="F112" s="205">
        <f>D112*E112</f>
        <v/>
      </c>
      <c r="G112" s="47" t="inlineStr">
        <is>
          <t>Etapa 2, Suma alzada</t>
        </is>
      </c>
      <c r="H112" s="207" t="n"/>
    </row>
    <row r="113">
      <c r="A113" s="47" t="inlineStr">
        <is>
          <t>4.5.7</t>
        </is>
      </c>
      <c r="B113" s="214" t="inlineStr">
        <is>
          <t>Cobertura Pique</t>
        </is>
      </c>
      <c r="C113" s="48" t="inlineStr">
        <is>
          <t>gl</t>
        </is>
      </c>
      <c r="D113" s="221" t="n">
        <v>1</v>
      </c>
      <c r="E113" s="222" t="n">
        <v>90.9091</v>
      </c>
      <c r="F113" s="205">
        <f>D113*E113</f>
        <v/>
      </c>
      <c r="G113" s="47" t="inlineStr">
        <is>
          <t>Etapa 2, Suma alzada</t>
        </is>
      </c>
      <c r="H113" s="207" t="n"/>
    </row>
    <row r="114">
      <c r="A114" s="47" t="inlineStr">
        <is>
          <t>4.5.8</t>
        </is>
      </c>
      <c r="B114" s="223" t="inlineStr">
        <is>
          <t>Montaje de Escalas y Plataforma</t>
        </is>
      </c>
      <c r="C114" s="48" t="inlineStr">
        <is>
          <t>gl</t>
        </is>
      </c>
      <c r="D114" s="221" t="n">
        <v>1</v>
      </c>
      <c r="E114" s="222" t="n">
        <v>83.1169</v>
      </c>
      <c r="F114" s="205">
        <f>D114*E114</f>
        <v/>
      </c>
      <c r="G114" s="47" t="inlineStr">
        <is>
          <t>Etapa 2, Suma alzada</t>
        </is>
      </c>
      <c r="H114" s="207" t="n"/>
    </row>
    <row r="115">
      <c r="A115" s="47" t="inlineStr">
        <is>
          <t>4.5.9</t>
        </is>
      </c>
      <c r="B115" s="214" t="inlineStr">
        <is>
          <t>Refuerzo Apertura Pique</t>
        </is>
      </c>
      <c r="C115" s="48" t="inlineStr">
        <is>
          <t>gl</t>
        </is>
      </c>
      <c r="D115" s="221" t="n">
        <v>1</v>
      </c>
      <c r="E115" s="222" t="n">
        <v>57.1429</v>
      </c>
      <c r="F115" s="205">
        <f>D115*E115</f>
        <v/>
      </c>
      <c r="G115" s="47" t="inlineStr">
        <is>
          <t>Etapa 2, Suma alzada</t>
        </is>
      </c>
      <c r="H115" s="207" t="n"/>
    </row>
    <row r="116">
      <c r="A116" s="47" t="inlineStr">
        <is>
          <t>4.5.10</t>
        </is>
      </c>
      <c r="B116" s="214" t="inlineStr">
        <is>
          <t>Shotcrete</t>
        </is>
      </c>
      <c r="C116" s="48" t="inlineStr">
        <is>
          <t>m3</t>
        </is>
      </c>
      <c r="D116" s="49" t="n"/>
      <c r="E116" s="222" t="n">
        <v>4.6753</v>
      </c>
      <c r="F116" s="210">
        <f>+D116*E116</f>
        <v/>
      </c>
      <c r="G116" s="47" t="inlineStr">
        <is>
          <t>Etapa 2, Suma alzada</t>
        </is>
      </c>
      <c r="H116" s="207" t="n"/>
    </row>
    <row r="117">
      <c r="A117" s="47" t="inlineStr">
        <is>
          <t>4.5.11</t>
        </is>
      </c>
      <c r="B117" s="214" t="inlineStr">
        <is>
          <t>Malla</t>
        </is>
      </c>
      <c r="C117" s="48" t="inlineStr">
        <is>
          <t>kg</t>
        </is>
      </c>
      <c r="D117" s="49" t="n"/>
      <c r="E117" s="222" t="n">
        <v>0.0312</v>
      </c>
      <c r="F117" s="210">
        <f>+D117*E117</f>
        <v/>
      </c>
      <c r="G117" s="47" t="inlineStr">
        <is>
          <t>Etapa 2, Suma alzada</t>
        </is>
      </c>
      <c r="H117" s="207" t="n"/>
    </row>
    <row r="118">
      <c r="A118" s="47" t="inlineStr">
        <is>
          <t>4.5.12</t>
        </is>
      </c>
      <c r="B118" s="214" t="inlineStr">
        <is>
          <t>Instalación y Monitoreo de Pernos de Convergencia</t>
        </is>
      </c>
      <c r="C118" s="48" t="inlineStr">
        <is>
          <t>und</t>
        </is>
      </c>
      <c r="D118" s="49" t="n"/>
      <c r="E118" s="222" t="n">
        <v>1.1688</v>
      </c>
      <c r="F118" s="210">
        <f>+D118*E118</f>
        <v/>
      </c>
      <c r="G118" s="47" t="inlineStr">
        <is>
          <t>Etapa 2, Suma alzada</t>
        </is>
      </c>
      <c r="H118" s="207" t="n"/>
    </row>
    <row r="119">
      <c r="A119" s="47" t="inlineStr">
        <is>
          <t>4.5.13</t>
        </is>
      </c>
      <c r="B119" s="214" t="inlineStr">
        <is>
          <t>Construcción Brocal Temporal</t>
        </is>
      </c>
      <c r="C119" s="48" t="inlineStr">
        <is>
          <t>gl</t>
        </is>
      </c>
      <c r="D119" s="49" t="n"/>
      <c r="E119" s="222" t="n">
        <v>0.2208</v>
      </c>
      <c r="F119" s="210">
        <f>+D119*E119</f>
        <v/>
      </c>
      <c r="G119" s="47" t="inlineStr">
        <is>
          <t>Etapa 2, Suma alzada</t>
        </is>
      </c>
      <c r="H119" s="207" t="n"/>
    </row>
    <row r="120">
      <c r="A120" s="47" t="inlineStr">
        <is>
          <t>4.5.14</t>
        </is>
      </c>
      <c r="B120" s="214" t="inlineStr">
        <is>
          <t>Construcción Brocal Definitivo</t>
        </is>
      </c>
      <c r="C120" s="48" t="inlineStr">
        <is>
          <t>gl</t>
        </is>
      </c>
      <c r="D120" s="221" t="n">
        <v>1</v>
      </c>
      <c r="E120" s="222" t="n">
        <v>116.8831</v>
      </c>
      <c r="F120" s="205">
        <f>D120*E120</f>
        <v/>
      </c>
      <c r="G120" s="47" t="inlineStr">
        <is>
          <t>Etapa 2, Suma alzada</t>
        </is>
      </c>
      <c r="H120" s="208" t="n"/>
    </row>
    <row r="121">
      <c r="A121" s="47" t="n"/>
      <c r="B121" s="47" t="n"/>
      <c r="C121" s="48" t="n"/>
      <c r="D121" s="49" t="n"/>
      <c r="E121" s="209" t="n"/>
      <c r="F121" s="210" t="n"/>
      <c r="G121" s="62" t="n"/>
      <c r="H121" s="47" t="n"/>
    </row>
    <row r="122">
      <c r="A122" s="56" t="inlineStr">
        <is>
          <t>4.6</t>
        </is>
      </c>
      <c r="B122" s="219" t="inlineStr">
        <is>
          <t>Pique 6 Túnel Liner</t>
        </is>
      </c>
      <c r="C122" s="57" t="n"/>
      <c r="D122" s="58" t="n"/>
      <c r="E122" s="197" t="n"/>
      <c r="F122" s="220">
        <f>+SUM(F123:F137)</f>
        <v/>
      </c>
      <c r="G122" s="68" t="n"/>
      <c r="H122" s="69" t="n"/>
    </row>
    <row r="123" ht="12.75" customHeight="1">
      <c r="A123" s="47" t="inlineStr">
        <is>
          <t>4.6.1</t>
        </is>
      </c>
      <c r="B123" s="214" t="inlineStr">
        <is>
          <t>Excavación</t>
        </is>
      </c>
      <c r="C123" s="48" t="inlineStr">
        <is>
          <t>m3</t>
        </is>
      </c>
      <c r="D123" s="221" t="n">
        <v>194.9</v>
      </c>
      <c r="E123" s="222" t="n">
        <v>2.2078</v>
      </c>
      <c r="F123" s="205">
        <f>D123*E123</f>
        <v/>
      </c>
      <c r="G123" s="47" t="inlineStr">
        <is>
          <t>Etapa 2, Suma alzada</t>
        </is>
      </c>
      <c r="H123" s="168" t="inlineStr">
        <is>
          <t>5% con el cumplimiento de Condiciones contractuales, 85% por avance proporcional y 10% con la recepción provisional de la obra.</t>
        </is>
      </c>
    </row>
    <row r="124">
      <c r="A124" s="47" t="inlineStr">
        <is>
          <t>4.6.2</t>
        </is>
      </c>
      <c r="B124" s="214" t="inlineStr">
        <is>
          <t>Retiro excavación y transporte a botadero (geométrico)</t>
        </is>
      </c>
      <c r="C124" s="48" t="inlineStr">
        <is>
          <t>m3</t>
        </is>
      </c>
      <c r="D124" s="221" t="n">
        <v>194.9</v>
      </c>
      <c r="E124" s="222" t="n">
        <v>0.9091</v>
      </c>
      <c r="F124" s="205">
        <f>D124*E124</f>
        <v/>
      </c>
      <c r="G124" s="47" t="inlineStr">
        <is>
          <t>Etapa 2, Suma alzada</t>
        </is>
      </c>
      <c r="H124" s="207" t="n"/>
    </row>
    <row r="125">
      <c r="A125" s="47" t="inlineStr">
        <is>
          <t>4.6.3</t>
        </is>
      </c>
      <c r="B125" s="214" t="inlineStr">
        <is>
          <t>Montaje Liner (Incluyendo sello entre placas y mortero)</t>
        </is>
      </c>
      <c r="C125" s="48" t="inlineStr">
        <is>
          <t>m</t>
        </is>
      </c>
      <c r="D125" s="221" t="n">
        <v>15.5</v>
      </c>
      <c r="E125" s="222" t="n">
        <v>5.7143</v>
      </c>
      <c r="F125" s="205">
        <f>D125*E125</f>
        <v/>
      </c>
      <c r="G125" s="47" t="inlineStr">
        <is>
          <t>Etapa 2, Suma alzada</t>
        </is>
      </c>
      <c r="H125" s="207" t="n"/>
    </row>
    <row r="126">
      <c r="A126" s="47" t="inlineStr">
        <is>
          <t>4.6.4</t>
        </is>
      </c>
      <c r="B126" s="214" t="inlineStr">
        <is>
          <t>Refuerzo Losa Anillo Fondo de Pique</t>
        </is>
      </c>
      <c r="C126" s="48" t="inlineStr">
        <is>
          <t>gl</t>
        </is>
      </c>
      <c r="D126" s="221" t="n">
        <v>1</v>
      </c>
      <c r="E126" s="222" t="n">
        <v>72.7273</v>
      </c>
      <c r="F126" s="205">
        <f>D126*E126</f>
        <v/>
      </c>
      <c r="G126" s="47" t="inlineStr">
        <is>
          <t>Etapa 2, Suma alzada</t>
        </is>
      </c>
      <c r="H126" s="207" t="n"/>
    </row>
    <row r="127">
      <c r="A127" s="47" t="inlineStr">
        <is>
          <t>4.6.5</t>
        </is>
      </c>
      <c r="B127" s="214" t="inlineStr">
        <is>
          <t>Construcción de Dren</t>
        </is>
      </c>
      <c r="C127" s="48" t="inlineStr">
        <is>
          <t>gl</t>
        </is>
      </c>
      <c r="D127" s="221" t="n">
        <v>1</v>
      </c>
      <c r="E127" s="222" t="n">
        <v>46.7532</v>
      </c>
      <c r="F127" s="205">
        <f>D127*E127</f>
        <v/>
      </c>
      <c r="G127" s="47" t="inlineStr">
        <is>
          <t>Etapa 2, Suma alzada</t>
        </is>
      </c>
      <c r="H127" s="207" t="n"/>
    </row>
    <row r="128">
      <c r="A128" s="47" t="inlineStr">
        <is>
          <t>4.6.6</t>
        </is>
      </c>
      <c r="B128" s="214" t="inlineStr">
        <is>
          <t>Terminaciones</t>
        </is>
      </c>
      <c r="C128" s="48" t="inlineStr">
        <is>
          <t>gl</t>
        </is>
      </c>
      <c r="D128" s="221" t="n">
        <v>1</v>
      </c>
      <c r="E128" s="222" t="n">
        <v>38.961</v>
      </c>
      <c r="F128" s="205">
        <f>D128*E128</f>
        <v/>
      </c>
      <c r="G128" s="47" t="inlineStr">
        <is>
          <t>Etapa 2, Suma alzada</t>
        </is>
      </c>
      <c r="H128" s="207" t="n"/>
    </row>
    <row r="129">
      <c r="A129" s="47" t="inlineStr">
        <is>
          <t>4.6.7</t>
        </is>
      </c>
      <c r="B129" s="214" t="inlineStr">
        <is>
          <t>Cobertura Pique</t>
        </is>
      </c>
      <c r="C129" s="48" t="inlineStr">
        <is>
          <t>gl</t>
        </is>
      </c>
      <c r="D129" s="221" t="n">
        <v>1</v>
      </c>
      <c r="E129" s="222" t="n">
        <v>90.9091</v>
      </c>
      <c r="F129" s="205">
        <f>D129*E129</f>
        <v/>
      </c>
      <c r="G129" s="47" t="inlineStr">
        <is>
          <t>Etapa 2, Suma alzada</t>
        </is>
      </c>
      <c r="H129" s="207" t="n"/>
    </row>
    <row r="130">
      <c r="A130" s="47" t="inlineStr">
        <is>
          <t>4.6.8</t>
        </is>
      </c>
      <c r="B130" s="223" t="inlineStr">
        <is>
          <t>Montaje de Escalas y Plataforma</t>
        </is>
      </c>
      <c r="C130" s="48" t="inlineStr">
        <is>
          <t>gl</t>
        </is>
      </c>
      <c r="D130" s="221" t="n">
        <v>1</v>
      </c>
      <c r="E130" s="222" t="n">
        <v>83.1169</v>
      </c>
      <c r="F130" s="205">
        <f>D130*E130</f>
        <v/>
      </c>
      <c r="G130" s="47" t="inlineStr">
        <is>
          <t>Etapa 2, Suma alzada</t>
        </is>
      </c>
      <c r="H130" s="207" t="n"/>
    </row>
    <row r="131">
      <c r="A131" s="47" t="inlineStr">
        <is>
          <t>4.6.9</t>
        </is>
      </c>
      <c r="B131" s="214" t="inlineStr">
        <is>
          <t>Refuerzo Apertura Pique</t>
        </is>
      </c>
      <c r="C131" s="48" t="inlineStr">
        <is>
          <t>gl</t>
        </is>
      </c>
      <c r="D131" s="221" t="n">
        <v>1</v>
      </c>
      <c r="E131" s="222" t="n">
        <v>57.1429</v>
      </c>
      <c r="F131" s="205">
        <f>D131*E131</f>
        <v/>
      </c>
      <c r="G131" s="47" t="inlineStr">
        <is>
          <t>Etapa 2, Suma alzada</t>
        </is>
      </c>
      <c r="H131" s="207" t="n"/>
    </row>
    <row r="132">
      <c r="A132" s="47" t="inlineStr">
        <is>
          <t>4.6.10</t>
        </is>
      </c>
      <c r="B132" s="214" t="inlineStr">
        <is>
          <t>Shotcrete</t>
        </is>
      </c>
      <c r="C132" s="48" t="inlineStr">
        <is>
          <t>m3</t>
        </is>
      </c>
      <c r="D132" s="49" t="n"/>
      <c r="E132" s="222" t="n">
        <v>4.6753</v>
      </c>
      <c r="F132" s="210">
        <f>+D132*E132</f>
        <v/>
      </c>
      <c r="G132" s="47" t="inlineStr">
        <is>
          <t>Etapa 2, Suma alzada</t>
        </is>
      </c>
      <c r="H132" s="207" t="n"/>
    </row>
    <row r="133">
      <c r="A133" s="47" t="inlineStr">
        <is>
          <t>4.6.11</t>
        </is>
      </c>
      <c r="B133" s="214" t="inlineStr">
        <is>
          <t>Malla</t>
        </is>
      </c>
      <c r="C133" s="48" t="inlineStr">
        <is>
          <t>kg</t>
        </is>
      </c>
      <c r="D133" s="49" t="n"/>
      <c r="E133" s="222" t="n">
        <v>0.0312</v>
      </c>
      <c r="F133" s="210">
        <f>+D133*E133</f>
        <v/>
      </c>
      <c r="G133" s="47" t="inlineStr">
        <is>
          <t>Etapa 2, Suma alzada</t>
        </is>
      </c>
      <c r="H133" s="207" t="n"/>
    </row>
    <row r="134">
      <c r="A134" s="47" t="inlineStr">
        <is>
          <t>4.6.12</t>
        </is>
      </c>
      <c r="B134" s="214" t="inlineStr">
        <is>
          <t>Instalación y Monitoreo de Pernos de Convergencia</t>
        </is>
      </c>
      <c r="C134" s="48" t="inlineStr">
        <is>
          <t>und</t>
        </is>
      </c>
      <c r="D134" s="49" t="n"/>
      <c r="E134" s="222" t="n">
        <v>1.1688</v>
      </c>
      <c r="F134" s="210">
        <f>+D134*E134</f>
        <v/>
      </c>
      <c r="G134" s="47" t="inlineStr">
        <is>
          <t>Etapa 2, Suma alzada</t>
        </is>
      </c>
      <c r="H134" s="207" t="n"/>
    </row>
    <row r="135">
      <c r="A135" s="47" t="inlineStr">
        <is>
          <t>4.6.13</t>
        </is>
      </c>
      <c r="B135" s="214" t="inlineStr">
        <is>
          <t>Construcción Brocal Temporal</t>
        </is>
      </c>
      <c r="C135" s="48" t="inlineStr">
        <is>
          <t>gl</t>
        </is>
      </c>
      <c r="D135" s="49" t="n"/>
      <c r="E135" s="222" t="n">
        <v>0.2208</v>
      </c>
      <c r="F135" s="210">
        <f>+D135*E135</f>
        <v/>
      </c>
      <c r="G135" s="47" t="inlineStr">
        <is>
          <t>Etapa 2, Suma alzada</t>
        </is>
      </c>
      <c r="H135" s="207" t="n"/>
    </row>
    <row r="136">
      <c r="A136" s="47" t="inlineStr">
        <is>
          <t>4.6.14</t>
        </is>
      </c>
      <c r="B136" s="214" t="inlineStr">
        <is>
          <t>Construcción Brocal Definitivo</t>
        </is>
      </c>
      <c r="C136" s="48" t="inlineStr">
        <is>
          <t>gl</t>
        </is>
      </c>
      <c r="D136" s="221" t="n">
        <v>1</v>
      </c>
      <c r="E136" s="222" t="n">
        <v>116.8831</v>
      </c>
      <c r="F136" s="205">
        <f>D136*E136</f>
        <v/>
      </c>
      <c r="G136" s="47" t="inlineStr">
        <is>
          <t>Etapa 2, Suma alzada</t>
        </is>
      </c>
      <c r="H136" s="208" t="n"/>
    </row>
    <row r="137">
      <c r="A137" s="47" t="n"/>
      <c r="B137" s="47" t="n"/>
      <c r="C137" s="48" t="n"/>
      <c r="D137" s="49" t="n"/>
      <c r="E137" s="209" t="n"/>
      <c r="F137" s="210" t="n"/>
      <c r="G137" s="62" t="n"/>
      <c r="H137" s="47" t="n"/>
    </row>
    <row r="138">
      <c r="A138" s="56" t="inlineStr">
        <is>
          <t>4.7</t>
        </is>
      </c>
      <c r="B138" s="219" t="inlineStr">
        <is>
          <t>Pique 7 Túnel Liner</t>
        </is>
      </c>
      <c r="C138" s="57" t="n"/>
      <c r="D138" s="58" t="n"/>
      <c r="E138" s="197" t="n"/>
      <c r="F138" s="220">
        <f>+SUM(F139:F153)</f>
        <v/>
      </c>
      <c r="G138" s="68" t="n"/>
      <c r="H138" s="69" t="n"/>
    </row>
    <row r="139" ht="12.75" customHeight="1">
      <c r="A139" s="47" t="inlineStr">
        <is>
          <t>4.7.1</t>
        </is>
      </c>
      <c r="B139" s="214" t="inlineStr">
        <is>
          <t>Excavación</t>
        </is>
      </c>
      <c r="C139" s="48" t="inlineStr">
        <is>
          <t>m3</t>
        </is>
      </c>
      <c r="D139" s="221" t="n">
        <v>196.29</v>
      </c>
      <c r="E139" s="222" t="n">
        <v>2.2078</v>
      </c>
      <c r="F139" s="205">
        <f>D139*E139</f>
        <v/>
      </c>
      <c r="G139" s="47" t="inlineStr">
        <is>
          <t>Etapa 2, Suma alzada</t>
        </is>
      </c>
      <c r="H139" s="168" t="inlineStr">
        <is>
          <t>5% con el cumplimiento de Condiciones contractuales, 85% por avance proporcional y 10% con la recepción provisional de la obra.</t>
        </is>
      </c>
    </row>
    <row r="140">
      <c r="A140" s="47" t="inlineStr">
        <is>
          <t>4.7.2</t>
        </is>
      </c>
      <c r="B140" s="214" t="inlineStr">
        <is>
          <t>Retiro excavación y transporte a botadero (geométrico)</t>
        </is>
      </c>
      <c r="C140" s="48" t="inlineStr">
        <is>
          <t>m3</t>
        </is>
      </c>
      <c r="D140" s="221" t="n">
        <v>196.29</v>
      </c>
      <c r="E140" s="222" t="n">
        <v>0.9091</v>
      </c>
      <c r="F140" s="205">
        <f>D140*E140</f>
        <v/>
      </c>
      <c r="G140" s="47" t="inlineStr">
        <is>
          <t>Etapa 2, Suma alzada</t>
        </is>
      </c>
      <c r="H140" s="207" t="n"/>
    </row>
    <row r="141">
      <c r="A141" s="47" t="inlineStr">
        <is>
          <t>4.7.3</t>
        </is>
      </c>
      <c r="B141" s="214" t="inlineStr">
        <is>
          <t>Montaje Liner (Incluyendo sello entre placas y mortero)</t>
        </is>
      </c>
      <c r="C141" s="48" t="inlineStr">
        <is>
          <t>m</t>
        </is>
      </c>
      <c r="D141" s="221" t="n">
        <v>15.6</v>
      </c>
      <c r="E141" s="222" t="n">
        <v>5.7143</v>
      </c>
      <c r="F141" s="205">
        <f>D141*E141</f>
        <v/>
      </c>
      <c r="G141" s="47" t="inlineStr">
        <is>
          <t>Etapa 2, Suma alzada</t>
        </is>
      </c>
      <c r="H141" s="207" t="n"/>
    </row>
    <row r="142">
      <c r="A142" s="47" t="inlineStr">
        <is>
          <t>4.7.4</t>
        </is>
      </c>
      <c r="B142" s="214" t="inlineStr">
        <is>
          <t>Refuerzo Losa Anillo Fondo de Pique</t>
        </is>
      </c>
      <c r="C142" s="48" t="inlineStr">
        <is>
          <t>gl</t>
        </is>
      </c>
      <c r="D142" s="221" t="n">
        <v>1</v>
      </c>
      <c r="E142" s="222" t="n">
        <v>72.7273</v>
      </c>
      <c r="F142" s="205">
        <f>D142*E142</f>
        <v/>
      </c>
      <c r="G142" s="47" t="inlineStr">
        <is>
          <t>Etapa 2, Suma alzada</t>
        </is>
      </c>
      <c r="H142" s="207" t="n"/>
    </row>
    <row r="143">
      <c r="A143" s="47" t="inlineStr">
        <is>
          <t>4.7.5</t>
        </is>
      </c>
      <c r="B143" s="214" t="inlineStr">
        <is>
          <t>Construcción de Dren</t>
        </is>
      </c>
      <c r="C143" s="48" t="inlineStr">
        <is>
          <t>gl</t>
        </is>
      </c>
      <c r="D143" s="221" t="n">
        <v>1</v>
      </c>
      <c r="E143" s="222" t="n">
        <v>46.7532</v>
      </c>
      <c r="F143" s="205">
        <f>D143*E143</f>
        <v/>
      </c>
      <c r="G143" s="47" t="inlineStr">
        <is>
          <t>Etapa 2, Suma alzada</t>
        </is>
      </c>
      <c r="H143" s="207" t="n"/>
    </row>
    <row r="144">
      <c r="A144" s="47" t="inlineStr">
        <is>
          <t>4.7.6</t>
        </is>
      </c>
      <c r="B144" s="214" t="inlineStr">
        <is>
          <t>Terminaciones</t>
        </is>
      </c>
      <c r="C144" s="48" t="inlineStr">
        <is>
          <t>gl</t>
        </is>
      </c>
      <c r="D144" s="221" t="n">
        <v>1</v>
      </c>
      <c r="E144" s="222" t="n">
        <v>38.961</v>
      </c>
      <c r="F144" s="205">
        <f>D144*E144</f>
        <v/>
      </c>
      <c r="G144" s="47" t="inlineStr">
        <is>
          <t>Etapa 2, Suma alzada</t>
        </is>
      </c>
      <c r="H144" s="207" t="n"/>
    </row>
    <row r="145">
      <c r="A145" s="47" t="inlineStr">
        <is>
          <t>4.7.7</t>
        </is>
      </c>
      <c r="B145" s="214" t="inlineStr">
        <is>
          <t>Cobertura Pique</t>
        </is>
      </c>
      <c r="C145" s="48" t="inlineStr">
        <is>
          <t>gl</t>
        </is>
      </c>
      <c r="D145" s="221" t="n">
        <v>1</v>
      </c>
      <c r="E145" s="222" t="n">
        <v>90.9091</v>
      </c>
      <c r="F145" s="205">
        <f>D145*E145</f>
        <v/>
      </c>
      <c r="G145" s="47" t="inlineStr">
        <is>
          <t>Etapa 2, Suma alzada</t>
        </is>
      </c>
      <c r="H145" s="207" t="n"/>
    </row>
    <row r="146">
      <c r="A146" s="47" t="inlineStr">
        <is>
          <t>4.7.8</t>
        </is>
      </c>
      <c r="B146" s="223" t="inlineStr">
        <is>
          <t>Montaje de Escalas y Plataforma</t>
        </is>
      </c>
      <c r="C146" s="48" t="inlineStr">
        <is>
          <t>gl</t>
        </is>
      </c>
      <c r="D146" s="221" t="n">
        <v>1</v>
      </c>
      <c r="E146" s="222" t="n">
        <v>83.1169</v>
      </c>
      <c r="F146" s="205">
        <f>D146*E146</f>
        <v/>
      </c>
      <c r="G146" s="47" t="inlineStr">
        <is>
          <t>Etapa 2, Suma alzada</t>
        </is>
      </c>
      <c r="H146" s="207" t="n"/>
    </row>
    <row r="147">
      <c r="A147" s="47" t="inlineStr">
        <is>
          <t>4.7.9</t>
        </is>
      </c>
      <c r="B147" s="214" t="inlineStr">
        <is>
          <t>Refuerzo Apertura Pique</t>
        </is>
      </c>
      <c r="C147" s="48" t="inlineStr">
        <is>
          <t>gl</t>
        </is>
      </c>
      <c r="D147" s="221" t="n">
        <v>1</v>
      </c>
      <c r="E147" s="222" t="n">
        <v>57.1429</v>
      </c>
      <c r="F147" s="205">
        <f>D147*E147</f>
        <v/>
      </c>
      <c r="G147" s="47" t="inlineStr">
        <is>
          <t>Etapa 2, Suma alzada</t>
        </is>
      </c>
      <c r="H147" s="207" t="n"/>
    </row>
    <row r="148">
      <c r="A148" s="47" t="inlineStr">
        <is>
          <t>4.7.10</t>
        </is>
      </c>
      <c r="B148" s="214" t="inlineStr">
        <is>
          <t>Shotcrete</t>
        </is>
      </c>
      <c r="C148" s="48" t="inlineStr">
        <is>
          <t>m3</t>
        </is>
      </c>
      <c r="D148" s="49" t="n"/>
      <c r="E148" s="222" t="n">
        <v>4.6753</v>
      </c>
      <c r="F148" s="210">
        <f>+D148*E148</f>
        <v/>
      </c>
      <c r="G148" s="47" t="inlineStr">
        <is>
          <t>Etapa 2, Suma alzada</t>
        </is>
      </c>
      <c r="H148" s="207" t="n"/>
    </row>
    <row r="149">
      <c r="A149" s="47" t="inlineStr">
        <is>
          <t>4.7.11</t>
        </is>
      </c>
      <c r="B149" s="214" t="inlineStr">
        <is>
          <t>Malla</t>
        </is>
      </c>
      <c r="C149" s="48" t="inlineStr">
        <is>
          <t>kg</t>
        </is>
      </c>
      <c r="D149" s="49" t="n"/>
      <c r="E149" s="222" t="n">
        <v>0.0312</v>
      </c>
      <c r="F149" s="210">
        <f>+D149*E149</f>
        <v/>
      </c>
      <c r="G149" s="47" t="inlineStr">
        <is>
          <t>Etapa 2, Suma alzada</t>
        </is>
      </c>
      <c r="H149" s="207" t="n"/>
    </row>
    <row r="150">
      <c r="A150" s="47" t="inlineStr">
        <is>
          <t>4.7.12</t>
        </is>
      </c>
      <c r="B150" s="214" t="inlineStr">
        <is>
          <t>Instalación y Monitoreo de Pernos de Convergencia</t>
        </is>
      </c>
      <c r="C150" s="48" t="inlineStr">
        <is>
          <t>und</t>
        </is>
      </c>
      <c r="D150" s="49" t="n"/>
      <c r="E150" s="222" t="n">
        <v>1.1688</v>
      </c>
      <c r="F150" s="210">
        <f>+D150*E150</f>
        <v/>
      </c>
      <c r="G150" s="47" t="inlineStr">
        <is>
          <t>Etapa 2, Suma alzada</t>
        </is>
      </c>
      <c r="H150" s="207" t="n"/>
    </row>
    <row r="151">
      <c r="A151" s="47" t="inlineStr">
        <is>
          <t>4.7.13</t>
        </is>
      </c>
      <c r="B151" s="214" t="inlineStr">
        <is>
          <t>Construcción Brocal Temporal</t>
        </is>
      </c>
      <c r="C151" s="48" t="inlineStr">
        <is>
          <t>gl</t>
        </is>
      </c>
      <c r="D151" s="49" t="n"/>
      <c r="E151" s="222" t="n">
        <v>0.2208</v>
      </c>
      <c r="F151" s="210">
        <f>+D151*E151</f>
        <v/>
      </c>
      <c r="G151" s="47" t="inlineStr">
        <is>
          <t>Etapa 2, Suma alzada</t>
        </is>
      </c>
      <c r="H151" s="207" t="n"/>
    </row>
    <row r="152">
      <c r="A152" s="47" t="inlineStr">
        <is>
          <t>4.7.14</t>
        </is>
      </c>
      <c r="B152" s="214" t="inlineStr">
        <is>
          <t>Construcción Brocal Definitivo</t>
        </is>
      </c>
      <c r="C152" s="48" t="inlineStr">
        <is>
          <t>gl</t>
        </is>
      </c>
      <c r="D152" s="221" t="n">
        <v>1</v>
      </c>
      <c r="E152" s="222" t="n">
        <v>116.8831</v>
      </c>
      <c r="F152" s="205">
        <f>D152*E152</f>
        <v/>
      </c>
      <c r="G152" s="47" t="inlineStr">
        <is>
          <t>Etapa 2, Suma alzada</t>
        </is>
      </c>
      <c r="H152" s="208" t="n"/>
    </row>
    <row r="153">
      <c r="A153" s="47" t="n"/>
      <c r="B153" s="47" t="n"/>
      <c r="C153" s="48" t="n"/>
      <c r="D153" s="49" t="n"/>
      <c r="E153" s="209" t="n"/>
      <c r="F153" s="210" t="n"/>
      <c r="G153" s="62" t="n"/>
      <c r="H153" s="47" t="n"/>
    </row>
    <row r="154">
      <c r="A154" s="56" t="inlineStr">
        <is>
          <t>4.8</t>
        </is>
      </c>
      <c r="B154" s="219" t="inlineStr">
        <is>
          <t>Pique 8 Túnel Liner</t>
        </is>
      </c>
      <c r="C154" s="57" t="n"/>
      <c r="D154" s="58" t="n"/>
      <c r="E154" s="197" t="n"/>
      <c r="F154" s="220">
        <f>+SUM(F155:F169)</f>
        <v/>
      </c>
      <c r="G154" s="68" t="n"/>
      <c r="H154" s="69" t="n"/>
    </row>
    <row r="155" ht="12.75" customHeight="1">
      <c r="A155" s="47" t="inlineStr">
        <is>
          <t>4.8.1</t>
        </is>
      </c>
      <c r="B155" s="214" t="inlineStr">
        <is>
          <t>Excavación</t>
        </is>
      </c>
      <c r="C155" s="48" t="inlineStr">
        <is>
          <t>m3</t>
        </is>
      </c>
      <c r="D155" s="221" t="n">
        <v>181.08</v>
      </c>
      <c r="E155" s="222" t="n">
        <v>2.2078</v>
      </c>
      <c r="F155" s="205">
        <f>D155*E155</f>
        <v/>
      </c>
      <c r="G155" s="47" t="inlineStr">
        <is>
          <t>Etapa 2, Suma alzada</t>
        </is>
      </c>
      <c r="H155" s="168" t="inlineStr">
        <is>
          <t>5% con el cumplimiento de Condiciones contractuales, 85% por avance proporcional y 10% con la recepción provisional de la obra.</t>
        </is>
      </c>
    </row>
    <row r="156">
      <c r="A156" s="47" t="inlineStr">
        <is>
          <t>4.8.2</t>
        </is>
      </c>
      <c r="B156" s="214" t="inlineStr">
        <is>
          <t>Retiro excavación y transporte a botadero (geométrico)</t>
        </is>
      </c>
      <c r="C156" s="48" t="inlineStr">
        <is>
          <t>m3</t>
        </is>
      </c>
      <c r="D156" s="221" t="n">
        <v>181.08</v>
      </c>
      <c r="E156" s="222" t="n">
        <v>0.9091</v>
      </c>
      <c r="F156" s="205">
        <f>D156*E156</f>
        <v/>
      </c>
      <c r="G156" s="47" t="inlineStr">
        <is>
          <t>Etapa 2, Suma alzada</t>
        </is>
      </c>
      <c r="H156" s="207" t="n"/>
    </row>
    <row r="157">
      <c r="A157" s="47" t="inlineStr">
        <is>
          <t>4.8.3</t>
        </is>
      </c>
      <c r="B157" s="214" t="inlineStr">
        <is>
          <t>Montaje Liner (Incluyendo sello entre placas y mortero)</t>
        </is>
      </c>
      <c r="C157" s="48" t="inlineStr">
        <is>
          <t>m</t>
        </is>
      </c>
      <c r="D157" s="221" t="n">
        <v>14.4</v>
      </c>
      <c r="E157" s="222" t="n">
        <v>5.7143</v>
      </c>
      <c r="F157" s="205">
        <f>D157*E157</f>
        <v/>
      </c>
      <c r="G157" s="47" t="inlineStr">
        <is>
          <t>Etapa 2, Suma alzada</t>
        </is>
      </c>
      <c r="H157" s="207" t="n"/>
    </row>
    <row r="158">
      <c r="A158" s="47" t="inlineStr">
        <is>
          <t>4.8.4</t>
        </is>
      </c>
      <c r="B158" s="214" t="inlineStr">
        <is>
          <t>Refuerzo Losa Anillo Fondo de Pique</t>
        </is>
      </c>
      <c r="C158" s="48" t="inlineStr">
        <is>
          <t>gl</t>
        </is>
      </c>
      <c r="D158" s="221" t="n">
        <v>1</v>
      </c>
      <c r="E158" s="222" t="n">
        <v>72.7273</v>
      </c>
      <c r="F158" s="205">
        <f>D158*E158</f>
        <v/>
      </c>
      <c r="G158" s="47" t="inlineStr">
        <is>
          <t>Etapa 2, Suma alzada</t>
        </is>
      </c>
      <c r="H158" s="207" t="n"/>
    </row>
    <row r="159">
      <c r="A159" s="47" t="inlineStr">
        <is>
          <t>4.8.5</t>
        </is>
      </c>
      <c r="B159" s="214" t="inlineStr">
        <is>
          <t>Construcción de Dren</t>
        </is>
      </c>
      <c r="C159" s="48" t="inlineStr">
        <is>
          <t>gl</t>
        </is>
      </c>
      <c r="D159" s="221" t="n">
        <v>1</v>
      </c>
      <c r="E159" s="222" t="n">
        <v>46.7532</v>
      </c>
      <c r="F159" s="205">
        <f>D159*E159</f>
        <v/>
      </c>
      <c r="G159" s="47" t="inlineStr">
        <is>
          <t>Etapa 2, Suma alzada</t>
        </is>
      </c>
      <c r="H159" s="207" t="n"/>
    </row>
    <row r="160">
      <c r="A160" s="47" t="inlineStr">
        <is>
          <t>4.8.6</t>
        </is>
      </c>
      <c r="B160" s="214" t="inlineStr">
        <is>
          <t>Terminaciones</t>
        </is>
      </c>
      <c r="C160" s="48" t="inlineStr">
        <is>
          <t>gl</t>
        </is>
      </c>
      <c r="D160" s="221" t="n">
        <v>1</v>
      </c>
      <c r="E160" s="222" t="n">
        <v>38.961</v>
      </c>
      <c r="F160" s="205">
        <f>D160*E160</f>
        <v/>
      </c>
      <c r="G160" s="47" t="inlineStr">
        <is>
          <t>Etapa 2, Suma alzada</t>
        </is>
      </c>
      <c r="H160" s="207" t="n"/>
    </row>
    <row r="161">
      <c r="A161" s="47" t="inlineStr">
        <is>
          <t>4.8.7</t>
        </is>
      </c>
      <c r="B161" s="214" t="inlineStr">
        <is>
          <t>Cobertura Pique</t>
        </is>
      </c>
      <c r="C161" s="48" t="inlineStr">
        <is>
          <t>gl</t>
        </is>
      </c>
      <c r="D161" s="221" t="n">
        <v>1</v>
      </c>
      <c r="E161" s="222" t="n">
        <v>90.9091</v>
      </c>
      <c r="F161" s="205">
        <f>D161*E161</f>
        <v/>
      </c>
      <c r="G161" s="47" t="inlineStr">
        <is>
          <t>Etapa 2, Suma alzada</t>
        </is>
      </c>
      <c r="H161" s="207" t="n"/>
    </row>
    <row r="162">
      <c r="A162" s="47" t="inlineStr">
        <is>
          <t>4.8.8</t>
        </is>
      </c>
      <c r="B162" s="223" t="inlineStr">
        <is>
          <t>Montaje de Escalas y Plataforma</t>
        </is>
      </c>
      <c r="C162" s="48" t="inlineStr">
        <is>
          <t>gl</t>
        </is>
      </c>
      <c r="D162" s="221" t="n">
        <v>1</v>
      </c>
      <c r="E162" s="222" t="n">
        <v>83.1169</v>
      </c>
      <c r="F162" s="205">
        <f>D162*E162</f>
        <v/>
      </c>
      <c r="G162" s="47" t="inlineStr">
        <is>
          <t>Etapa 2, Suma alzada</t>
        </is>
      </c>
      <c r="H162" s="207" t="n"/>
    </row>
    <row r="163">
      <c r="A163" s="47" t="inlineStr">
        <is>
          <t>4.8.9</t>
        </is>
      </c>
      <c r="B163" s="214" t="inlineStr">
        <is>
          <t>Refuerzo Apertura Pique</t>
        </is>
      </c>
      <c r="C163" s="48" t="inlineStr">
        <is>
          <t>gl</t>
        </is>
      </c>
      <c r="D163" s="221" t="n">
        <v>1</v>
      </c>
      <c r="E163" s="222" t="n">
        <v>57.1429</v>
      </c>
      <c r="F163" s="205">
        <f>D163*E163</f>
        <v/>
      </c>
      <c r="G163" s="47" t="inlineStr">
        <is>
          <t>Etapa 2, Suma alzada</t>
        </is>
      </c>
      <c r="H163" s="207" t="n"/>
    </row>
    <row r="164">
      <c r="A164" s="47" t="inlineStr">
        <is>
          <t>4.8.10</t>
        </is>
      </c>
      <c r="B164" s="214" t="inlineStr">
        <is>
          <t>Shotcrete</t>
        </is>
      </c>
      <c r="C164" s="48" t="inlineStr">
        <is>
          <t>m3</t>
        </is>
      </c>
      <c r="D164" s="49" t="n"/>
      <c r="E164" s="222" t="n">
        <v>4.6753</v>
      </c>
      <c r="F164" s="210">
        <f>+D164*E164</f>
        <v/>
      </c>
      <c r="G164" s="47" t="inlineStr">
        <is>
          <t>Etapa 2, Suma alzada</t>
        </is>
      </c>
      <c r="H164" s="207" t="n"/>
    </row>
    <row r="165">
      <c r="A165" s="47" t="inlineStr">
        <is>
          <t>4.8.11</t>
        </is>
      </c>
      <c r="B165" s="214" t="inlineStr">
        <is>
          <t>Malla</t>
        </is>
      </c>
      <c r="C165" s="48" t="inlineStr">
        <is>
          <t>kg</t>
        </is>
      </c>
      <c r="D165" s="49" t="n"/>
      <c r="E165" s="222" t="n">
        <v>0.0312</v>
      </c>
      <c r="F165" s="210">
        <f>+D165*E165</f>
        <v/>
      </c>
      <c r="G165" s="47" t="inlineStr">
        <is>
          <t>Etapa 2, Suma alzada</t>
        </is>
      </c>
      <c r="H165" s="207" t="n"/>
    </row>
    <row r="166">
      <c r="A166" s="47" t="inlineStr">
        <is>
          <t>4.8.12</t>
        </is>
      </c>
      <c r="B166" s="214" t="inlineStr">
        <is>
          <t>Instalación y Monitoreo de Pernos de Convergencia</t>
        </is>
      </c>
      <c r="C166" s="48" t="inlineStr">
        <is>
          <t>und</t>
        </is>
      </c>
      <c r="D166" s="49" t="n"/>
      <c r="E166" s="222" t="n">
        <v>1.1688</v>
      </c>
      <c r="F166" s="210">
        <f>+D166*E166</f>
        <v/>
      </c>
      <c r="G166" s="47" t="inlineStr">
        <is>
          <t>Etapa 2, Suma alzada</t>
        </is>
      </c>
      <c r="H166" s="207" t="n"/>
    </row>
    <row r="167">
      <c r="A167" s="47" t="inlineStr">
        <is>
          <t>4.8.13</t>
        </is>
      </c>
      <c r="B167" s="214" t="inlineStr">
        <is>
          <t>Construcción Brocal Temporal</t>
        </is>
      </c>
      <c r="C167" s="48" t="inlineStr">
        <is>
          <t>gl</t>
        </is>
      </c>
      <c r="D167" s="49" t="n"/>
      <c r="E167" s="222" t="n">
        <v>0.2208</v>
      </c>
      <c r="F167" s="210">
        <f>+D167*E167</f>
        <v/>
      </c>
      <c r="G167" s="47" t="inlineStr">
        <is>
          <t>Etapa 2, Suma alzada</t>
        </is>
      </c>
      <c r="H167" s="207" t="n"/>
    </row>
    <row r="168">
      <c r="A168" s="47" t="inlineStr">
        <is>
          <t>4.8.14</t>
        </is>
      </c>
      <c r="B168" s="214" t="inlineStr">
        <is>
          <t>Construcción Brocal Definitivo</t>
        </is>
      </c>
      <c r="C168" s="48" t="inlineStr">
        <is>
          <t>gl</t>
        </is>
      </c>
      <c r="D168" s="221" t="n">
        <v>1</v>
      </c>
      <c r="E168" s="222" t="n">
        <v>116.8831</v>
      </c>
      <c r="F168" s="205">
        <f>D168*E168</f>
        <v/>
      </c>
      <c r="G168" s="47" t="inlineStr">
        <is>
          <t>Etapa 2, Suma alzada</t>
        </is>
      </c>
      <c r="H168" s="208" t="n"/>
    </row>
    <row r="169">
      <c r="A169" s="47" t="n"/>
      <c r="B169" s="47" t="n"/>
      <c r="C169" s="48" t="n"/>
      <c r="D169" s="49" t="n"/>
      <c r="E169" s="209" t="n"/>
      <c r="F169" s="210" t="n"/>
      <c r="G169" s="62" t="n"/>
      <c r="H169" s="47" t="n"/>
    </row>
    <row r="170">
      <c r="A170" s="56" t="inlineStr">
        <is>
          <t>4.9</t>
        </is>
      </c>
      <c r="B170" s="219" t="inlineStr">
        <is>
          <t>Pique 9 Túnel Liner</t>
        </is>
      </c>
      <c r="C170" s="57" t="n"/>
      <c r="D170" s="58" t="n"/>
      <c r="E170" s="197" t="n"/>
      <c r="F170" s="220">
        <f>+SUM(F171:F186)</f>
        <v/>
      </c>
      <c r="G170" s="68" t="n"/>
      <c r="H170" s="69" t="n"/>
    </row>
    <row r="171" ht="12.75" customHeight="1">
      <c r="A171" s="47" t="inlineStr">
        <is>
          <t>4.9.1</t>
        </is>
      </c>
      <c r="B171" s="214" t="inlineStr">
        <is>
          <t>Excavación</t>
        </is>
      </c>
      <c r="C171" s="48" t="inlineStr">
        <is>
          <t>m3</t>
        </is>
      </c>
      <c r="D171" s="221" t="n">
        <v>113.85</v>
      </c>
      <c r="E171" s="222" t="n">
        <v>2.2078</v>
      </c>
      <c r="F171" s="205">
        <f>D171*E171</f>
        <v/>
      </c>
      <c r="G171" s="47" t="inlineStr">
        <is>
          <t>Etapa 2, Suma alzada</t>
        </is>
      </c>
      <c r="H171" s="167" t="inlineStr">
        <is>
          <t>5% con el cumplimiento de Condiciones contractuales, 85% por avance proporcional y 10% con la recepción provisional de la obra.</t>
        </is>
      </c>
    </row>
    <row r="172">
      <c r="A172" s="47" t="inlineStr">
        <is>
          <t>4.9.2</t>
        </is>
      </c>
      <c r="B172" s="214" t="inlineStr">
        <is>
          <t>Retiro excavación y transporte a botadero (geométrico)</t>
        </is>
      </c>
      <c r="C172" s="48" t="inlineStr">
        <is>
          <t>m3</t>
        </is>
      </c>
      <c r="D172" s="221" t="n">
        <v>113.85</v>
      </c>
      <c r="E172" s="222" t="n">
        <v>0.9091</v>
      </c>
      <c r="F172" s="205">
        <f>D172*E172</f>
        <v/>
      </c>
      <c r="G172" s="47" t="inlineStr">
        <is>
          <t>Etapa 2, Suma alzada</t>
        </is>
      </c>
      <c r="H172" s="207" t="n"/>
    </row>
    <row r="173">
      <c r="A173" s="47" t="inlineStr">
        <is>
          <t>4.9.3</t>
        </is>
      </c>
      <c r="B173" s="214" t="inlineStr">
        <is>
          <t>Montaje Liner (Incluyendo sello entre placas y mortero)</t>
        </is>
      </c>
      <c r="C173" s="48" t="inlineStr">
        <is>
          <t>m</t>
        </is>
      </c>
      <c r="D173" s="221" t="n">
        <v>9.1</v>
      </c>
      <c r="E173" s="222" t="n">
        <v>5.7143</v>
      </c>
      <c r="F173" s="205">
        <f>D173*E173</f>
        <v/>
      </c>
      <c r="G173" s="47" t="inlineStr">
        <is>
          <t>Etapa 2, Suma alzada</t>
        </is>
      </c>
      <c r="H173" s="207" t="n"/>
    </row>
    <row r="174">
      <c r="A174" s="47" t="inlineStr">
        <is>
          <t>4.9.4</t>
        </is>
      </c>
      <c r="B174" s="214" t="inlineStr">
        <is>
          <t>Refuerzo Losa Anillo Fondo de Pique</t>
        </is>
      </c>
      <c r="C174" s="48" t="inlineStr">
        <is>
          <t>gl</t>
        </is>
      </c>
      <c r="D174" s="221" t="n">
        <v>1</v>
      </c>
      <c r="E174" s="222" t="n">
        <v>72.7273</v>
      </c>
      <c r="F174" s="205">
        <f>D174*E174</f>
        <v/>
      </c>
      <c r="G174" s="47" t="inlineStr">
        <is>
          <t>Etapa 2, Suma alzada</t>
        </is>
      </c>
      <c r="H174" s="207" t="n"/>
    </row>
    <row r="175">
      <c r="A175" s="47" t="inlineStr">
        <is>
          <t>4.9.5</t>
        </is>
      </c>
      <c r="B175" s="214" t="inlineStr">
        <is>
          <t>Construcción de Dren</t>
        </is>
      </c>
      <c r="C175" s="48" t="inlineStr">
        <is>
          <t>gl</t>
        </is>
      </c>
      <c r="D175" s="221" t="n">
        <v>1</v>
      </c>
      <c r="E175" s="222" t="n">
        <v>46.7532</v>
      </c>
      <c r="F175" s="205">
        <f>D175*E175</f>
        <v/>
      </c>
      <c r="G175" s="47" t="inlineStr">
        <is>
          <t>Etapa 2, Suma alzada</t>
        </is>
      </c>
      <c r="H175" s="207" t="n"/>
    </row>
    <row r="176">
      <c r="A176" s="47" t="inlineStr">
        <is>
          <t>4.9.6</t>
        </is>
      </c>
      <c r="B176" s="214" t="inlineStr">
        <is>
          <t>Terminaciones</t>
        </is>
      </c>
      <c r="C176" s="48" t="inlineStr">
        <is>
          <t>gl</t>
        </is>
      </c>
      <c r="D176" s="221" t="n">
        <v>1</v>
      </c>
      <c r="E176" s="222" t="n">
        <v>38.961</v>
      </c>
      <c r="F176" s="205">
        <f>D176*E176</f>
        <v/>
      </c>
      <c r="G176" s="47" t="inlineStr">
        <is>
          <t>Etapa 2, Suma alzada</t>
        </is>
      </c>
      <c r="H176" s="207" t="n"/>
    </row>
    <row r="177" ht="25.5" customHeight="1">
      <c r="A177" s="47" t="inlineStr">
        <is>
          <t>4.9.7</t>
        </is>
      </c>
      <c r="B177" s="214" t="inlineStr">
        <is>
          <t>Cobertura propia pique, considera construcción de Cámara de Conexión AT en SE Providencia</t>
        </is>
      </c>
      <c r="C177" s="48" t="inlineStr">
        <is>
          <t>gl</t>
        </is>
      </c>
      <c r="D177" s="221" t="n">
        <v>1</v>
      </c>
      <c r="E177" s="222" t="n">
        <v>90.9091</v>
      </c>
      <c r="F177" s="205">
        <f>D177*E177</f>
        <v/>
      </c>
      <c r="G177" s="47" t="inlineStr">
        <is>
          <t>Etapa 2, Suma alzada</t>
        </is>
      </c>
      <c r="H177" s="207" t="n"/>
    </row>
    <row r="178">
      <c r="A178" s="47" t="inlineStr">
        <is>
          <t>4.9.8</t>
        </is>
      </c>
      <c r="B178" s="223" t="inlineStr">
        <is>
          <t>Montaje de Escalas y Plataforma</t>
        </is>
      </c>
      <c r="C178" s="48" t="inlineStr">
        <is>
          <t>gl</t>
        </is>
      </c>
      <c r="D178" s="221" t="n">
        <v>1</v>
      </c>
      <c r="E178" s="222" t="n">
        <v>83.1169</v>
      </c>
      <c r="F178" s="205">
        <f>D178*E178</f>
        <v/>
      </c>
      <c r="G178" s="47" t="inlineStr">
        <is>
          <t>Etapa 2, Suma alzada</t>
        </is>
      </c>
      <c r="H178" s="207" t="n"/>
    </row>
    <row r="179">
      <c r="A179" s="47" t="inlineStr">
        <is>
          <t>4.9.9</t>
        </is>
      </c>
      <c r="B179" s="214" t="inlineStr">
        <is>
          <t>Refuerzo Apertura Pique</t>
        </is>
      </c>
      <c r="C179" s="48" t="inlineStr">
        <is>
          <t>gl</t>
        </is>
      </c>
      <c r="D179" s="221" t="n">
        <v>1</v>
      </c>
      <c r="E179" s="222" t="n">
        <v>57.1429</v>
      </c>
      <c r="F179" s="205">
        <f>D179*E179</f>
        <v/>
      </c>
      <c r="G179" s="47" t="inlineStr">
        <is>
          <t>Etapa 2, Suma alzada</t>
        </is>
      </c>
      <c r="H179" s="207" t="n"/>
    </row>
    <row r="180">
      <c r="A180" s="47" t="inlineStr">
        <is>
          <t>4.9.10</t>
        </is>
      </c>
      <c r="B180" s="214" t="inlineStr">
        <is>
          <t>Shotcrete</t>
        </is>
      </c>
      <c r="C180" s="48" t="inlineStr">
        <is>
          <t>m3</t>
        </is>
      </c>
      <c r="D180" s="49" t="n"/>
      <c r="E180" s="222" t="n">
        <v>4.6753</v>
      </c>
      <c r="F180" s="210">
        <f>+D180*E180</f>
        <v/>
      </c>
      <c r="G180" s="47" t="inlineStr">
        <is>
          <t>Etapa 2, Suma alzada</t>
        </is>
      </c>
      <c r="H180" s="207" t="n"/>
    </row>
    <row r="181">
      <c r="A181" s="47" t="inlineStr">
        <is>
          <t>4.9.11</t>
        </is>
      </c>
      <c r="B181" s="214" t="inlineStr">
        <is>
          <t>Malla</t>
        </is>
      </c>
      <c r="C181" s="48" t="inlineStr">
        <is>
          <t>kg</t>
        </is>
      </c>
      <c r="D181" s="49" t="n"/>
      <c r="E181" s="222" t="n">
        <v>0.0312</v>
      </c>
      <c r="F181" s="210">
        <f>+D181*E181</f>
        <v/>
      </c>
      <c r="G181" s="47" t="inlineStr">
        <is>
          <t>Etapa 2, Suma alzada</t>
        </is>
      </c>
      <c r="H181" s="207" t="n"/>
    </row>
    <row r="182">
      <c r="A182" s="47" t="inlineStr">
        <is>
          <t>4.9.12</t>
        </is>
      </c>
      <c r="B182" s="214" t="inlineStr">
        <is>
          <t>Instalación y Monitoreo de Pernos de Convergencia</t>
        </is>
      </c>
      <c r="C182" s="48" t="inlineStr">
        <is>
          <t>und</t>
        </is>
      </c>
      <c r="D182" s="49" t="n"/>
      <c r="E182" s="222" t="n">
        <v>1.1688</v>
      </c>
      <c r="F182" s="210">
        <f>+D182*E182</f>
        <v/>
      </c>
      <c r="G182" s="47" t="inlineStr">
        <is>
          <t>Etapa 2, Suma alzada</t>
        </is>
      </c>
      <c r="H182" s="207" t="n"/>
    </row>
    <row r="183">
      <c r="A183" s="47" t="inlineStr">
        <is>
          <t>4.9.13</t>
        </is>
      </c>
      <c r="B183" s="214" t="inlineStr">
        <is>
          <t>Montaje estructura soporte de cables</t>
        </is>
      </c>
      <c r="C183" s="48" t="inlineStr">
        <is>
          <t>kg</t>
        </is>
      </c>
      <c r="D183" s="221" t="n">
        <v>500</v>
      </c>
      <c r="E183" s="222" t="n">
        <v>0.2208</v>
      </c>
      <c r="F183" s="205">
        <f>D183*E183</f>
        <v/>
      </c>
      <c r="G183" s="47" t="inlineStr">
        <is>
          <t>Etapa 2, Suma alzada</t>
        </is>
      </c>
      <c r="H183" s="207" t="n"/>
    </row>
    <row r="184">
      <c r="A184" s="47" t="inlineStr">
        <is>
          <t>4.9.14</t>
        </is>
      </c>
      <c r="B184" s="214" t="inlineStr">
        <is>
          <t>Construcción Brocal Temporal</t>
        </is>
      </c>
      <c r="C184" s="48" t="inlineStr">
        <is>
          <t>gl</t>
        </is>
      </c>
      <c r="D184" s="49" t="n"/>
      <c r="E184" s="222" t="n">
        <v>116.8831</v>
      </c>
      <c r="F184" s="210">
        <f>+D184*E184</f>
        <v/>
      </c>
      <c r="G184" s="47" t="inlineStr">
        <is>
          <t>Etapa 2, Suma alzada</t>
        </is>
      </c>
      <c r="H184" s="207" t="n"/>
    </row>
    <row r="185">
      <c r="A185" s="47" t="inlineStr">
        <is>
          <t>4.9.15</t>
        </is>
      </c>
      <c r="B185" s="214" t="inlineStr">
        <is>
          <t>Construcción Brocal Definitivo</t>
        </is>
      </c>
      <c r="C185" s="48" t="inlineStr">
        <is>
          <t>gl</t>
        </is>
      </c>
      <c r="D185" s="221" t="n">
        <v>1</v>
      </c>
      <c r="E185" s="222" t="n">
        <v>116.8831</v>
      </c>
      <c r="F185" s="205">
        <f>D185*E185</f>
        <v/>
      </c>
      <c r="G185" s="47" t="inlineStr">
        <is>
          <t>Etapa 2, Suma alzada</t>
        </is>
      </c>
      <c r="H185" s="208" t="n"/>
    </row>
    <row r="186">
      <c r="A186" s="47" t="n"/>
      <c r="B186" s="47" t="n"/>
      <c r="C186" s="48" t="n"/>
      <c r="D186" s="49" t="n"/>
      <c r="E186" s="209" t="n"/>
      <c r="F186" s="210" t="n"/>
      <c r="G186" s="47" t="n"/>
      <c r="H186" s="75" t="n"/>
    </row>
    <row r="187">
      <c r="A187" s="199" t="inlineStr">
        <is>
          <t>5.0</t>
        </is>
      </c>
      <c r="B187" s="199" t="inlineStr">
        <is>
          <t>Obras Civiles Túnel</t>
        </is>
      </c>
      <c r="C187" s="51" t="n"/>
      <c r="D187" s="78" t="n"/>
      <c r="E187" s="200" t="n"/>
      <c r="F187" s="201">
        <f>+F188+F202+F216+F230+F244+F258+F272+F286</f>
        <v/>
      </c>
      <c r="G187" s="79" t="n"/>
      <c r="H187" s="80" t="n"/>
    </row>
    <row r="188">
      <c r="A188" s="56" t="inlineStr">
        <is>
          <t>5.1</t>
        </is>
      </c>
      <c r="B188" s="219" t="inlineStr">
        <is>
          <t>Tramo 1 Túnel Liner (entre Piques 1 y 2)</t>
        </is>
      </c>
      <c r="C188" s="57" t="n"/>
      <c r="D188" s="58" t="n"/>
      <c r="E188" s="197" t="n"/>
      <c r="F188" s="220">
        <f>+SUM(F189:F201)</f>
        <v/>
      </c>
      <c r="G188" s="63" t="n"/>
      <c r="H188" s="64" t="n"/>
    </row>
    <row r="189" ht="12.75" customHeight="1">
      <c r="A189" s="47" t="inlineStr">
        <is>
          <t>5.1.1</t>
        </is>
      </c>
      <c r="B189" s="214" t="inlineStr">
        <is>
          <t>Excavación del túnel</t>
        </is>
      </c>
      <c r="C189" s="48" t="inlineStr">
        <is>
          <t>m3</t>
        </is>
      </c>
      <c r="D189" s="221" t="n">
        <v>1492.19</v>
      </c>
      <c r="E189" s="222" t="n">
        <v>2.4675</v>
      </c>
      <c r="F189" s="205">
        <f>D189*E189</f>
        <v/>
      </c>
      <c r="G189" s="47" t="inlineStr">
        <is>
          <t>Etapa 2, Suma alzada</t>
        </is>
      </c>
      <c r="H189" s="169" t="inlineStr">
        <is>
          <t>Partidas a suma alzada: 
5% con el cumplimiento de Condiciones contractuales, 85% por avance proporcional y 10% con la recepción provisional de la obra
Partidas a precio unitario:
90% por avance proporcional y 10% con la recepción provisional de la obra</t>
        </is>
      </c>
    </row>
    <row r="190">
      <c r="A190" s="47" t="inlineStr">
        <is>
          <t>5.1.2</t>
        </is>
      </c>
      <c r="B190" s="214" t="inlineStr">
        <is>
          <t>Retiro excavación y transporte a botadero (geométrico)</t>
        </is>
      </c>
      <c r="C190" s="48" t="inlineStr">
        <is>
          <t>m3</t>
        </is>
      </c>
      <c r="D190" s="221" t="n">
        <v>1492.19</v>
      </c>
      <c r="E190" s="222" t="n">
        <v>0.987</v>
      </c>
      <c r="F190" s="205">
        <f>D190*E190</f>
        <v/>
      </c>
      <c r="G190" s="47" t="inlineStr">
        <is>
          <t>Etapa 2, Suma alzada</t>
        </is>
      </c>
      <c r="H190" s="207" t="n"/>
    </row>
    <row r="191">
      <c r="A191" s="47" t="inlineStr">
        <is>
          <t>5.1.3</t>
        </is>
      </c>
      <c r="B191" s="214" t="inlineStr">
        <is>
          <t>Montaje Liner (Incluyendo sello entre placas y mortero)</t>
        </is>
      </c>
      <c r="C191" s="48" t="inlineStr">
        <is>
          <t>m</t>
        </is>
      </c>
      <c r="D191" s="221" t="n">
        <v>389</v>
      </c>
      <c r="E191" s="222" t="n">
        <v>4.6753</v>
      </c>
      <c r="F191" s="205">
        <f>D191*E191</f>
        <v/>
      </c>
      <c r="G191" s="47" t="inlineStr">
        <is>
          <t>Etapa 2, Suma alzada</t>
        </is>
      </c>
      <c r="H191" s="207" t="n"/>
    </row>
    <row r="192">
      <c r="A192" s="47" t="inlineStr">
        <is>
          <t>5.1.4</t>
        </is>
      </c>
      <c r="B192" s="214" t="inlineStr">
        <is>
          <t>Pernos frente fibra de vidrio 4m (eventual)</t>
        </is>
      </c>
      <c r="C192" s="48" t="inlineStr">
        <is>
          <t>und</t>
        </is>
      </c>
      <c r="D192" s="224" t="n">
        <v>39.54</v>
      </c>
      <c r="E192" s="222" t="n">
        <v>1.4286</v>
      </c>
      <c r="F192" s="205">
        <f>D192*E192</f>
        <v/>
      </c>
      <c r="G192" s="47" t="inlineStr">
        <is>
          <t>Etapa 2, Precio unitario</t>
        </is>
      </c>
      <c r="H192" s="207" t="n"/>
    </row>
    <row r="193">
      <c r="A193" s="47" t="inlineStr">
        <is>
          <t>5.1.5</t>
        </is>
      </c>
      <c r="B193" s="214" t="inlineStr">
        <is>
          <t>Shotcrete Frente (eventual)</t>
        </is>
      </c>
      <c r="C193" s="48" t="inlineStr">
        <is>
          <t>m3</t>
        </is>
      </c>
      <c r="D193" s="224" t="n">
        <v>19.77</v>
      </c>
      <c r="E193" s="222" t="n">
        <v>5.4545</v>
      </c>
      <c r="F193" s="205">
        <f>D193*E193</f>
        <v/>
      </c>
      <c r="G193" s="47" t="inlineStr">
        <is>
          <t>Etapa 2, Precio unitario</t>
        </is>
      </c>
      <c r="H193" s="207" t="n"/>
      <c r="K193" s="225" t="n"/>
    </row>
    <row r="194">
      <c r="A194" s="47" t="inlineStr">
        <is>
          <t>5.1.6</t>
        </is>
      </c>
      <c r="B194" s="214" t="inlineStr">
        <is>
          <t>Paraguas Micropilotes (eventual)</t>
        </is>
      </c>
      <c r="C194" s="48" t="inlineStr">
        <is>
          <t>und</t>
        </is>
      </c>
      <c r="D194" s="224" t="n">
        <v>24</v>
      </c>
      <c r="E194" s="222" t="n">
        <v>4.6753</v>
      </c>
      <c r="F194" s="205">
        <f>D194*E194</f>
        <v/>
      </c>
      <c r="G194" s="47" t="inlineStr">
        <is>
          <t>Etapa 2, Precio unitario</t>
        </is>
      </c>
      <c r="H194" s="207" t="n"/>
    </row>
    <row r="195">
      <c r="A195" s="47" t="inlineStr">
        <is>
          <t>5.1.7</t>
        </is>
      </c>
      <c r="B195" s="214" t="inlineStr">
        <is>
          <t>Radier</t>
        </is>
      </c>
      <c r="C195" s="48" t="inlineStr">
        <is>
          <t>m3</t>
        </is>
      </c>
      <c r="D195" s="221" t="n">
        <v>128.95</v>
      </c>
      <c r="E195" s="222" t="n">
        <v>7.2727</v>
      </c>
      <c r="F195" s="205">
        <f>D195*E195</f>
        <v/>
      </c>
      <c r="G195" s="47" t="inlineStr">
        <is>
          <t>Etapa 2, Suma alzada</t>
        </is>
      </c>
      <c r="H195" s="207" t="n"/>
    </row>
    <row r="196">
      <c r="A196" s="47" t="inlineStr">
        <is>
          <t>5.1.8</t>
        </is>
      </c>
      <c r="B196" s="214" t="inlineStr">
        <is>
          <t>Monitoreo de Pernos</t>
        </is>
      </c>
      <c r="C196" s="48" t="inlineStr">
        <is>
          <t>gl</t>
        </is>
      </c>
      <c r="D196" s="221" t="n">
        <v>1</v>
      </c>
      <c r="E196" s="222" t="n">
        <v>0.4675</v>
      </c>
      <c r="F196" s="205">
        <f>D196*E196</f>
        <v/>
      </c>
      <c r="G196" s="47" t="inlineStr">
        <is>
          <t>Etapa 2, Suma alzada</t>
        </is>
      </c>
      <c r="H196" s="207" t="n"/>
    </row>
    <row r="197">
      <c r="A197" s="47" t="inlineStr">
        <is>
          <t>5.1.9</t>
        </is>
      </c>
      <c r="B197" s="214" t="inlineStr">
        <is>
          <t>Suministro e instalación de Pernos de Convergencia</t>
        </is>
      </c>
      <c r="C197" s="48" t="inlineStr">
        <is>
          <t>und</t>
        </is>
      </c>
      <c r="D197" s="49" t="n"/>
      <c r="E197" s="197" t="n"/>
      <c r="F197" s="210">
        <f>+D197*E197</f>
        <v/>
      </c>
      <c r="G197" s="47" t="inlineStr">
        <is>
          <t>Etapa 2, Suma alzada</t>
        </is>
      </c>
      <c r="H197" s="207" t="n"/>
    </row>
    <row r="198">
      <c r="A198" s="47" t="inlineStr">
        <is>
          <t>5.1.10</t>
        </is>
      </c>
      <c r="B198" s="214" t="inlineStr">
        <is>
          <t>Suministro e instalación de Pernos de Asentamiento Superficial</t>
        </is>
      </c>
      <c r="C198" s="48" t="inlineStr">
        <is>
          <t>und</t>
        </is>
      </c>
      <c r="D198" s="49" t="n"/>
      <c r="E198" s="197" t="n"/>
      <c r="F198" s="210">
        <f>+D198*E198</f>
        <v/>
      </c>
      <c r="G198" s="47" t="inlineStr">
        <is>
          <t>Etapa 2, Suma alzada</t>
        </is>
      </c>
      <c r="H198" s="207" t="n"/>
    </row>
    <row r="199">
      <c r="A199" s="47" t="inlineStr">
        <is>
          <t>5.1.11</t>
        </is>
      </c>
      <c r="B199" s="214" t="inlineStr">
        <is>
          <t>Suministro e instalación de Pernos de Asentamiento Subsuperficial</t>
        </is>
      </c>
      <c r="C199" s="48" t="inlineStr">
        <is>
          <t>und</t>
        </is>
      </c>
      <c r="D199" s="49" t="n"/>
      <c r="E199" s="197" t="n"/>
      <c r="F199" s="210">
        <f>+D199*E199</f>
        <v/>
      </c>
      <c r="G199" s="47" t="inlineStr">
        <is>
          <t>Etapa 2, Suma alzada</t>
        </is>
      </c>
      <c r="H199" s="207" t="n"/>
    </row>
    <row r="200">
      <c r="A200" s="47" t="inlineStr">
        <is>
          <t>5.1.12</t>
        </is>
      </c>
      <c r="B200" s="214" t="inlineStr">
        <is>
          <t>Montaje de estructuras de soporte de cables AT</t>
        </is>
      </c>
      <c r="C200" s="48" t="inlineStr">
        <is>
          <t>kg</t>
        </is>
      </c>
      <c r="D200" s="221" t="n">
        <v>7780</v>
      </c>
      <c r="E200" s="222" t="n">
        <v>0.2208</v>
      </c>
      <c r="F200" s="205">
        <f>D200*E200</f>
        <v/>
      </c>
      <c r="G200" s="47" t="inlineStr">
        <is>
          <t>Etapa 2, Suma alzada</t>
        </is>
      </c>
      <c r="H200" s="207" t="n"/>
    </row>
    <row r="201">
      <c r="A201" s="47" t="n"/>
      <c r="B201" s="47" t="n"/>
      <c r="C201" s="48" t="n"/>
      <c r="D201" s="49" t="n"/>
      <c r="E201" s="209" t="n"/>
      <c r="F201" s="210" t="n"/>
      <c r="G201" s="62" t="n"/>
      <c r="H201" s="47" t="n"/>
    </row>
    <row r="202">
      <c r="A202" s="56" t="inlineStr">
        <is>
          <t>5.2</t>
        </is>
      </c>
      <c r="B202" s="219" t="inlineStr">
        <is>
          <t>Tramo 2 Túnel Liner (entre Piques 2 y 3)</t>
        </is>
      </c>
      <c r="C202" s="57" t="n"/>
      <c r="D202" s="58" t="n"/>
      <c r="E202" s="197" t="n"/>
      <c r="F202" s="220">
        <f>+SUM(F203:F215)</f>
        <v/>
      </c>
      <c r="G202" s="63" t="n"/>
      <c r="H202" s="64" t="n"/>
    </row>
    <row r="203" ht="12.75" customHeight="1">
      <c r="A203" s="47" t="inlineStr">
        <is>
          <t>5.2.1</t>
        </is>
      </c>
      <c r="B203" s="214" t="inlineStr">
        <is>
          <t>Excavación del túnel</t>
        </is>
      </c>
      <c r="C203" s="48" t="inlineStr">
        <is>
          <t>m3</t>
        </is>
      </c>
      <c r="D203" s="221" t="n">
        <v>658.25</v>
      </c>
      <c r="E203" s="222" t="n">
        <v>2.4675</v>
      </c>
      <c r="F203" s="205">
        <f>D203*E203</f>
        <v/>
      </c>
      <c r="G203" s="47" t="inlineStr">
        <is>
          <t>Etapa 2, Suma alzada</t>
        </is>
      </c>
      <c r="H203" s="167" t="inlineStr">
        <is>
          <t>Partidas a suma alzada: 
5% con el cumplimiento de Condiciones contractuales, 85% por avance proporcional y 10% con la recepción provisional de la obra
Partidas a precio unitario:
90% por avance proporcional y 10% con la recepción provisional de la obra</t>
        </is>
      </c>
    </row>
    <row r="204">
      <c r="A204" s="47" t="inlineStr">
        <is>
          <t>5.2.2</t>
        </is>
      </c>
      <c r="B204" s="214" t="inlineStr">
        <is>
          <t>Retiro excavación y transporte a botadero (geométrico)</t>
        </is>
      </c>
      <c r="C204" s="48" t="inlineStr">
        <is>
          <t>m3</t>
        </is>
      </c>
      <c r="D204" s="221" t="n">
        <v>658.25</v>
      </c>
      <c r="E204" s="222" t="n">
        <v>0.987</v>
      </c>
      <c r="F204" s="205">
        <f>D204*E204</f>
        <v/>
      </c>
      <c r="G204" s="47" t="inlineStr">
        <is>
          <t>Etapa 2, Suma alzada</t>
        </is>
      </c>
      <c r="H204" s="207" t="n"/>
    </row>
    <row r="205">
      <c r="A205" s="47" t="inlineStr">
        <is>
          <t>5.2.3</t>
        </is>
      </c>
      <c r="B205" s="214" t="inlineStr">
        <is>
          <t>Montaje Liner (Incluyendo sello entre placas y mortero)</t>
        </is>
      </c>
      <c r="C205" s="48" t="inlineStr">
        <is>
          <t>m</t>
        </is>
      </c>
      <c r="D205" s="221" t="n">
        <v>171.6</v>
      </c>
      <c r="E205" s="222" t="n">
        <v>4.6753</v>
      </c>
      <c r="F205" s="205">
        <f>D205*E205</f>
        <v/>
      </c>
      <c r="G205" s="47" t="inlineStr">
        <is>
          <t>Etapa 2, Suma alzada</t>
        </is>
      </c>
      <c r="H205" s="207" t="n"/>
    </row>
    <row r="206">
      <c r="A206" s="47" t="inlineStr">
        <is>
          <t>5.2.4</t>
        </is>
      </c>
      <c r="B206" s="214" t="inlineStr">
        <is>
          <t>Pernos frente fibra de vidrio 4m (eventual)</t>
        </is>
      </c>
      <c r="C206" s="48" t="inlineStr">
        <is>
          <t>und</t>
        </is>
      </c>
      <c r="D206" s="224" t="n">
        <v>36.46</v>
      </c>
      <c r="E206" s="222" t="n">
        <v>1.4286</v>
      </c>
      <c r="F206" s="205">
        <f>D206*E206</f>
        <v/>
      </c>
      <c r="G206" s="47" t="inlineStr">
        <is>
          <t>Etapa 2, Precio unitario</t>
        </is>
      </c>
      <c r="H206" s="207" t="n"/>
    </row>
    <row r="207">
      <c r="A207" s="47" t="inlineStr">
        <is>
          <t>5.2.5</t>
        </is>
      </c>
      <c r="B207" s="214" t="inlineStr">
        <is>
          <t>Shotcrete Frente (eventual)</t>
        </is>
      </c>
      <c r="C207" s="48" t="inlineStr">
        <is>
          <t>m3</t>
        </is>
      </c>
      <c r="D207" s="224" t="n">
        <v>18.23</v>
      </c>
      <c r="E207" s="222" t="n">
        <v>5.4545</v>
      </c>
      <c r="F207" s="205">
        <f>D207*E207</f>
        <v/>
      </c>
      <c r="G207" s="47" t="inlineStr">
        <is>
          <t>Etapa 2, Precio unitario</t>
        </is>
      </c>
      <c r="H207" s="207" t="n"/>
    </row>
    <row r="208">
      <c r="A208" s="47" t="inlineStr">
        <is>
          <t>5.2.6</t>
        </is>
      </c>
      <c r="B208" s="214" t="inlineStr">
        <is>
          <t>Paraguas Micropilotes (eventual)</t>
        </is>
      </c>
      <c r="C208" s="48" t="inlineStr">
        <is>
          <t>und</t>
        </is>
      </c>
      <c r="D208" s="224" t="n">
        <v>24</v>
      </c>
      <c r="E208" s="222" t="n">
        <v>4.6753</v>
      </c>
      <c r="F208" s="205">
        <f>D208*E208</f>
        <v/>
      </c>
      <c r="G208" s="47" t="inlineStr">
        <is>
          <t>Etapa 2, Precio unitario</t>
        </is>
      </c>
      <c r="H208" s="207" t="n"/>
    </row>
    <row r="209">
      <c r="A209" s="47" t="inlineStr">
        <is>
          <t>5.2.7</t>
        </is>
      </c>
      <c r="B209" s="214" t="inlineStr">
        <is>
          <t>Radier</t>
        </is>
      </c>
      <c r="C209" s="48" t="inlineStr">
        <is>
          <t>m3</t>
        </is>
      </c>
      <c r="D209" s="221" t="n">
        <v>56.89</v>
      </c>
      <c r="E209" s="222" t="n">
        <v>7.2727</v>
      </c>
      <c r="F209" s="205">
        <f>D209*E209</f>
        <v/>
      </c>
      <c r="G209" s="47" t="inlineStr">
        <is>
          <t>Etapa 2, Suma alzada</t>
        </is>
      </c>
      <c r="H209" s="207" t="n"/>
    </row>
    <row r="210">
      <c r="A210" s="47" t="inlineStr">
        <is>
          <t>5.2.8</t>
        </is>
      </c>
      <c r="B210" s="214" t="inlineStr">
        <is>
          <t>Monitoreo de Pernos</t>
        </is>
      </c>
      <c r="C210" s="48" t="inlineStr">
        <is>
          <t>gl</t>
        </is>
      </c>
      <c r="D210" s="221" t="n">
        <v>1</v>
      </c>
      <c r="E210" s="222" t="n">
        <v>0.4675</v>
      </c>
      <c r="F210" s="205">
        <f>D210*E210</f>
        <v/>
      </c>
      <c r="G210" s="47" t="inlineStr">
        <is>
          <t>Etapa 2, Suma alzada</t>
        </is>
      </c>
      <c r="H210" s="207" t="n"/>
    </row>
    <row r="211">
      <c r="A211" s="47" t="inlineStr">
        <is>
          <t>5.2.9</t>
        </is>
      </c>
      <c r="B211" s="214" t="inlineStr">
        <is>
          <t>Suministro e instalación de Pernos de Convergencia</t>
        </is>
      </c>
      <c r="C211" s="48" t="inlineStr">
        <is>
          <t>und</t>
        </is>
      </c>
      <c r="D211" s="49" t="n"/>
      <c r="E211" s="197" t="n"/>
      <c r="F211" s="210">
        <f>+D211*E211</f>
        <v/>
      </c>
      <c r="G211" s="47" t="inlineStr">
        <is>
          <t>Etapa 2, Suma alzada</t>
        </is>
      </c>
      <c r="H211" s="207" t="n"/>
    </row>
    <row r="212">
      <c r="A212" s="47" t="inlineStr">
        <is>
          <t>5.2.10</t>
        </is>
      </c>
      <c r="B212" s="214" t="inlineStr">
        <is>
          <t>Suministro e instalación de Pernos de Asentamiento Superficial</t>
        </is>
      </c>
      <c r="C212" s="48" t="inlineStr">
        <is>
          <t>und</t>
        </is>
      </c>
      <c r="D212" s="49" t="n"/>
      <c r="E212" s="197" t="n"/>
      <c r="F212" s="210">
        <f>+D212*E212</f>
        <v/>
      </c>
      <c r="G212" s="47" t="inlineStr">
        <is>
          <t>Etapa 2, Suma alzada</t>
        </is>
      </c>
      <c r="H212" s="207" t="n"/>
    </row>
    <row r="213">
      <c r="A213" s="47" t="inlineStr">
        <is>
          <t>5.2.11</t>
        </is>
      </c>
      <c r="B213" s="214" t="inlineStr">
        <is>
          <t>Suministro e instalación de Pernos de Asentamiento Subsuperficial</t>
        </is>
      </c>
      <c r="C213" s="48" t="inlineStr">
        <is>
          <t>und</t>
        </is>
      </c>
      <c r="D213" s="49" t="n"/>
      <c r="E213" s="197" t="n"/>
      <c r="F213" s="210">
        <f>+D213*E213</f>
        <v/>
      </c>
      <c r="G213" s="47" t="inlineStr">
        <is>
          <t>Etapa 2, Suma alzada</t>
        </is>
      </c>
      <c r="H213" s="207" t="n"/>
    </row>
    <row r="214" ht="13.5" customHeight="1">
      <c r="A214" s="47" t="inlineStr">
        <is>
          <t>5.2.12</t>
        </is>
      </c>
      <c r="B214" s="214" t="inlineStr">
        <is>
          <t>Montaje de estructuras de soporte de cables AT</t>
        </is>
      </c>
      <c r="C214" s="48" t="inlineStr">
        <is>
          <t>kg</t>
        </is>
      </c>
      <c r="D214" s="221" t="n">
        <v>3432</v>
      </c>
      <c r="E214" s="222" t="n">
        <v>0.2208</v>
      </c>
      <c r="F214" s="205">
        <f>D214*E214</f>
        <v/>
      </c>
      <c r="G214" s="47" t="inlineStr">
        <is>
          <t>Etapa 2, Suma alzada</t>
        </is>
      </c>
      <c r="H214" s="208" t="n"/>
    </row>
    <row r="215">
      <c r="A215" s="47" t="n"/>
      <c r="B215" s="47" t="n"/>
      <c r="C215" s="48" t="n"/>
      <c r="D215" s="49" t="n"/>
      <c r="E215" s="209" t="n"/>
      <c r="F215" s="210" t="n"/>
      <c r="G215" s="62" t="n"/>
      <c r="H215" s="47" t="n"/>
    </row>
    <row r="216">
      <c r="A216" s="56" t="inlineStr">
        <is>
          <t>5.3</t>
        </is>
      </c>
      <c r="B216" s="219" t="inlineStr">
        <is>
          <t>Tramo 3 Túnel Liner (entre Piques 3 y 4)</t>
        </is>
      </c>
      <c r="C216" s="57" t="n"/>
      <c r="D216" s="58" t="n"/>
      <c r="E216" s="197" t="n"/>
      <c r="F216" s="220">
        <f>+SUM(F217:F229)</f>
        <v/>
      </c>
      <c r="G216" s="63" t="n"/>
      <c r="H216" s="64" t="n"/>
    </row>
    <row r="217" ht="12.75" customHeight="1">
      <c r="A217" s="47" t="inlineStr">
        <is>
          <t>5.3.1</t>
        </is>
      </c>
      <c r="B217" s="214" t="inlineStr">
        <is>
          <t>Excavación del túnel</t>
        </is>
      </c>
      <c r="C217" s="48" t="inlineStr">
        <is>
          <t>m3</t>
        </is>
      </c>
      <c r="D217" s="221" t="n">
        <v>1515.59</v>
      </c>
      <c r="E217" s="222" t="n">
        <v>2.4675</v>
      </c>
      <c r="F217" s="205">
        <f>D217*E217</f>
        <v/>
      </c>
      <c r="G217" s="47" t="inlineStr">
        <is>
          <t>Etapa 2, Suma alzada</t>
        </is>
      </c>
      <c r="H217" s="167" t="inlineStr">
        <is>
          <t>Partidas a suma alzada: 
5% con el cumplimiento de Condiciones contractuales, 85% por avance proporcional y 10% con la recepción provisional de la obra
Partidas a precio unitario:
90% por avance proporcional y 10% con la recepción provisional de la obra</t>
        </is>
      </c>
    </row>
    <row r="218">
      <c r="A218" s="47" t="inlineStr">
        <is>
          <t>5.3.2</t>
        </is>
      </c>
      <c r="B218" s="214" t="inlineStr">
        <is>
          <t>Retiro excavación y transporte a botadero (geométrico)</t>
        </is>
      </c>
      <c r="C218" s="48" t="inlineStr">
        <is>
          <t>m3</t>
        </is>
      </c>
      <c r="D218" s="221" t="n">
        <v>1515.59</v>
      </c>
      <c r="E218" s="222" t="n">
        <v>0.987</v>
      </c>
      <c r="F218" s="205">
        <f>D218*E218</f>
        <v/>
      </c>
      <c r="G218" s="47" t="inlineStr">
        <is>
          <t>Etapa 2, Suma alzada</t>
        </is>
      </c>
      <c r="H218" s="207" t="n"/>
    </row>
    <row r="219">
      <c r="A219" s="47" t="inlineStr">
        <is>
          <t>5.3.3</t>
        </is>
      </c>
      <c r="B219" s="214" t="inlineStr">
        <is>
          <t>Montaje Liner (Incluyendo sello entre placas y mortero)</t>
        </is>
      </c>
      <c r="C219" s="48" t="inlineStr">
        <is>
          <t>m</t>
        </is>
      </c>
      <c r="D219" s="221" t="n">
        <v>395.1</v>
      </c>
      <c r="E219" s="222" t="n">
        <v>4.6753</v>
      </c>
      <c r="F219" s="205">
        <f>D219*E219</f>
        <v/>
      </c>
      <c r="G219" s="47" t="inlineStr">
        <is>
          <t>Etapa 2, Suma alzada</t>
        </is>
      </c>
      <c r="H219" s="207" t="n"/>
    </row>
    <row r="220">
      <c r="A220" s="47" t="inlineStr">
        <is>
          <t>5.3.4</t>
        </is>
      </c>
      <c r="B220" s="214" t="inlineStr">
        <is>
          <t>Pernos frente fibra de vidrio 4m (eventual)</t>
        </is>
      </c>
      <c r="C220" s="48" t="inlineStr">
        <is>
          <t>und</t>
        </is>
      </c>
      <c r="D220" s="224" t="n">
        <v>21.98</v>
      </c>
      <c r="E220" s="222" t="n">
        <v>1.4286</v>
      </c>
      <c r="F220" s="205">
        <f>D220*E220</f>
        <v/>
      </c>
      <c r="G220" s="47" t="inlineStr">
        <is>
          <t>Etapa 2, Precio unitario</t>
        </is>
      </c>
      <c r="H220" s="207" t="n"/>
    </row>
    <row r="221">
      <c r="A221" s="47" t="inlineStr">
        <is>
          <t>5.3.5</t>
        </is>
      </c>
      <c r="B221" s="214" t="inlineStr">
        <is>
          <t>Shotcrete Frente (eventual)</t>
        </is>
      </c>
      <c r="C221" s="48" t="inlineStr">
        <is>
          <t>m3</t>
        </is>
      </c>
      <c r="D221" s="224" t="n">
        <v>10.99</v>
      </c>
      <c r="E221" s="222" t="n">
        <v>5.4545</v>
      </c>
      <c r="F221" s="205">
        <f>D221*E221</f>
        <v/>
      </c>
      <c r="G221" s="47" t="inlineStr">
        <is>
          <t>Etapa 2, Precio unitario</t>
        </is>
      </c>
      <c r="H221" s="207" t="n"/>
    </row>
    <row r="222">
      <c r="A222" s="47" t="inlineStr">
        <is>
          <t>5.3.6</t>
        </is>
      </c>
      <c r="B222" s="214" t="inlineStr">
        <is>
          <t>Paraguas Micropilotes (eventual)</t>
        </is>
      </c>
      <c r="C222" s="48" t="inlineStr">
        <is>
          <t>und</t>
        </is>
      </c>
      <c r="D222" s="224" t="n">
        <v>24</v>
      </c>
      <c r="E222" s="222" t="n">
        <v>4.6753</v>
      </c>
      <c r="F222" s="205">
        <f>D222*E222</f>
        <v/>
      </c>
      <c r="G222" s="47" t="inlineStr">
        <is>
          <t>Etapa 2, Precio unitario</t>
        </is>
      </c>
      <c r="H222" s="207" t="n"/>
    </row>
    <row r="223">
      <c r="A223" s="47" t="inlineStr">
        <is>
          <t>5.3.7</t>
        </is>
      </c>
      <c r="B223" s="214" t="inlineStr">
        <is>
          <t>Radier</t>
        </is>
      </c>
      <c r="C223" s="48" t="inlineStr">
        <is>
          <t>m3</t>
        </is>
      </c>
      <c r="D223" s="221" t="n">
        <v>130.98</v>
      </c>
      <c r="E223" s="222" t="n">
        <v>7.2727</v>
      </c>
      <c r="F223" s="205">
        <f>D223*E223</f>
        <v/>
      </c>
      <c r="G223" s="47" t="inlineStr">
        <is>
          <t>Etapa 2, Suma alzada</t>
        </is>
      </c>
      <c r="H223" s="207" t="n"/>
    </row>
    <row r="224">
      <c r="A224" s="47" t="inlineStr">
        <is>
          <t>5.3.8</t>
        </is>
      </c>
      <c r="B224" s="214" t="inlineStr">
        <is>
          <t>Monitoreo de Pernos</t>
        </is>
      </c>
      <c r="C224" s="48" t="inlineStr">
        <is>
          <t>gl</t>
        </is>
      </c>
      <c r="D224" s="221" t="n">
        <v>1</v>
      </c>
      <c r="E224" s="222" t="n">
        <v>0.4675</v>
      </c>
      <c r="F224" s="205">
        <f>D224*E224</f>
        <v/>
      </c>
      <c r="G224" s="47" t="inlineStr">
        <is>
          <t>Etapa 2, Suma alzada</t>
        </is>
      </c>
      <c r="H224" s="207" t="n"/>
    </row>
    <row r="225">
      <c r="A225" s="47" t="inlineStr">
        <is>
          <t>5.3.9</t>
        </is>
      </c>
      <c r="B225" s="214" t="inlineStr">
        <is>
          <t>Suministro e instalación de Pernos de Convergencia</t>
        </is>
      </c>
      <c r="C225" s="48" t="inlineStr">
        <is>
          <t>und</t>
        </is>
      </c>
      <c r="D225" s="49" t="n"/>
      <c r="E225" s="197" t="n"/>
      <c r="F225" s="210">
        <f>+D225*E225</f>
        <v/>
      </c>
      <c r="G225" s="47" t="inlineStr">
        <is>
          <t>Etapa 2, Suma alzada</t>
        </is>
      </c>
      <c r="H225" s="207" t="n"/>
    </row>
    <row r="226">
      <c r="A226" s="47" t="inlineStr">
        <is>
          <t>5.3.10</t>
        </is>
      </c>
      <c r="B226" s="214" t="inlineStr">
        <is>
          <t>Suministro e instalación de Pernos de Asentamiento Superficial</t>
        </is>
      </c>
      <c r="C226" s="48" t="inlineStr">
        <is>
          <t>und</t>
        </is>
      </c>
      <c r="D226" s="49" t="n"/>
      <c r="E226" s="197" t="n"/>
      <c r="F226" s="210">
        <f>+D226*E226</f>
        <v/>
      </c>
      <c r="G226" s="47" t="inlineStr">
        <is>
          <t>Etapa 2, Suma alzada</t>
        </is>
      </c>
      <c r="H226" s="207" t="n"/>
    </row>
    <row r="227">
      <c r="A227" s="47" t="inlineStr">
        <is>
          <t>5.3.11</t>
        </is>
      </c>
      <c r="B227" s="214" t="inlineStr">
        <is>
          <t>Suministro e instalación de Pernos de Asentamiento Subsuperficial</t>
        </is>
      </c>
      <c r="C227" s="48" t="inlineStr">
        <is>
          <t>und</t>
        </is>
      </c>
      <c r="D227" s="49" t="n"/>
      <c r="E227" s="197" t="n"/>
      <c r="F227" s="210">
        <f>+D227*E227</f>
        <v/>
      </c>
      <c r="G227" s="47" t="inlineStr">
        <is>
          <t>Etapa 2, Suma alzada</t>
        </is>
      </c>
      <c r="H227" s="207" t="n"/>
    </row>
    <row r="228">
      <c r="A228" s="47" t="inlineStr">
        <is>
          <t>5.3.12</t>
        </is>
      </c>
      <c r="B228" s="214" t="inlineStr">
        <is>
          <t>Montaje de estructuras de soporte de cables AT</t>
        </is>
      </c>
      <c r="C228" s="48" t="inlineStr">
        <is>
          <t>kg</t>
        </is>
      </c>
      <c r="D228" s="221" t="n">
        <v>7902</v>
      </c>
      <c r="E228" s="222" t="n">
        <v>0.2208</v>
      </c>
      <c r="F228" s="205">
        <f>D228*E228</f>
        <v/>
      </c>
      <c r="G228" s="47" t="inlineStr">
        <is>
          <t>Etapa 2, Suma alzada</t>
        </is>
      </c>
      <c r="H228" s="208" t="n"/>
    </row>
    <row r="229">
      <c r="A229" s="47" t="n"/>
      <c r="B229" s="47" t="n"/>
      <c r="C229" s="48" t="n"/>
      <c r="D229" s="49" t="n"/>
      <c r="E229" s="209" t="n"/>
      <c r="F229" s="210" t="n"/>
      <c r="G229" s="62" t="n"/>
      <c r="H229" s="47" t="n"/>
    </row>
    <row r="230">
      <c r="A230" s="56" t="inlineStr">
        <is>
          <t>5.4</t>
        </is>
      </c>
      <c r="B230" s="219" t="inlineStr">
        <is>
          <t>Tramo 4 Túnel Liner (entre Piques 4 y 5)</t>
        </is>
      </c>
      <c r="C230" s="57" t="n"/>
      <c r="D230" s="58" t="n"/>
      <c r="E230" s="197" t="n"/>
      <c r="F230" s="220">
        <f>+SUM(F231:F243)</f>
        <v/>
      </c>
      <c r="G230" s="63" t="n"/>
      <c r="H230" s="64" t="n"/>
    </row>
    <row r="231" ht="12.75" customHeight="1">
      <c r="A231" s="47" t="inlineStr">
        <is>
          <t>5.4.1</t>
        </is>
      </c>
      <c r="B231" s="214" t="inlineStr">
        <is>
          <t>Excavación del túnel</t>
        </is>
      </c>
      <c r="C231" s="48" t="inlineStr">
        <is>
          <t>m3</t>
        </is>
      </c>
      <c r="D231" s="221" t="n">
        <v>789.8200000000001</v>
      </c>
      <c r="E231" s="222" t="n">
        <v>2.4675</v>
      </c>
      <c r="F231" s="205">
        <f>D231*E231</f>
        <v/>
      </c>
      <c r="G231" s="47" t="inlineStr">
        <is>
          <t>Etapa 2, Suma alzada</t>
        </is>
      </c>
      <c r="H231" s="167" t="inlineStr">
        <is>
          <t>Partidas a suma alzada: 
5% con el cumplimiento de Condiciones contractuales, 85% por avance proporcional y 10% con la recepción provisional de la obra
Partidas a precio unitario:
90% por avance proporcional y 10% con la recepción provisional de la obra</t>
        </is>
      </c>
    </row>
    <row r="232">
      <c r="A232" s="47" t="inlineStr">
        <is>
          <t>5.4.2</t>
        </is>
      </c>
      <c r="B232" s="214" t="inlineStr">
        <is>
          <t>Retiro excavación y transporte a botadero (geométrico)</t>
        </is>
      </c>
      <c r="C232" s="48" t="inlineStr">
        <is>
          <t>m3</t>
        </is>
      </c>
      <c r="D232" s="221" t="n">
        <v>789.8200000000001</v>
      </c>
      <c r="E232" s="222" t="n">
        <v>0.987</v>
      </c>
      <c r="F232" s="205">
        <f>D232*E232</f>
        <v/>
      </c>
      <c r="G232" s="47" t="inlineStr">
        <is>
          <t>Etapa 2, Suma alzada</t>
        </is>
      </c>
      <c r="H232" s="207" t="n"/>
    </row>
    <row r="233">
      <c r="A233" s="47" t="inlineStr">
        <is>
          <t>5.4.3</t>
        </is>
      </c>
      <c r="B233" s="214" t="inlineStr">
        <is>
          <t>Montaje Liner (Incluyendo sello entre placas y mortero)</t>
        </is>
      </c>
      <c r="C233" s="48" t="inlineStr">
        <is>
          <t>m</t>
        </is>
      </c>
      <c r="D233" s="221" t="n">
        <v>205.9</v>
      </c>
      <c r="E233" s="222" t="n">
        <v>4.6753</v>
      </c>
      <c r="F233" s="205">
        <f>D233*E233</f>
        <v/>
      </c>
      <c r="G233" s="47" t="inlineStr">
        <is>
          <t>Etapa 2, Suma alzada</t>
        </is>
      </c>
      <c r="H233" s="207" t="n"/>
    </row>
    <row r="234">
      <c r="A234" s="47" t="inlineStr">
        <is>
          <t>5.4.4</t>
        </is>
      </c>
      <c r="B234" s="214" t="inlineStr">
        <is>
          <t>Pernos frente fibra de vidrio 4m (eventual)</t>
        </is>
      </c>
      <c r="C234" s="48" t="inlineStr">
        <is>
          <t>und</t>
        </is>
      </c>
      <c r="D234" s="224" t="n">
        <v>32.87</v>
      </c>
      <c r="E234" s="222" t="n">
        <v>1.4286</v>
      </c>
      <c r="F234" s="205">
        <f>D234*E234</f>
        <v/>
      </c>
      <c r="G234" s="47" t="inlineStr">
        <is>
          <t>Etapa 2, Precio unitario</t>
        </is>
      </c>
      <c r="H234" s="207" t="n"/>
    </row>
    <row r="235">
      <c r="A235" s="47" t="inlineStr">
        <is>
          <t>5.4.5</t>
        </is>
      </c>
      <c r="B235" s="214" t="inlineStr">
        <is>
          <t>Shotcrete Frente (eventual)</t>
        </is>
      </c>
      <c r="C235" s="48" t="inlineStr">
        <is>
          <t>m3</t>
        </is>
      </c>
      <c r="D235" s="224" t="n">
        <v>16.435</v>
      </c>
      <c r="E235" s="222" t="n">
        <v>5.4545</v>
      </c>
      <c r="F235" s="205">
        <f>D235*E235</f>
        <v/>
      </c>
      <c r="G235" s="47" t="inlineStr">
        <is>
          <t>Etapa 2, Precio unitario</t>
        </is>
      </c>
      <c r="H235" s="207" t="n"/>
    </row>
    <row r="236">
      <c r="A236" s="47" t="inlineStr">
        <is>
          <t>5.4.6</t>
        </is>
      </c>
      <c r="B236" s="214" t="inlineStr">
        <is>
          <t>Paraguas Micropilotes (eventual)</t>
        </is>
      </c>
      <c r="C236" s="48" t="inlineStr">
        <is>
          <t>und</t>
        </is>
      </c>
      <c r="D236" s="224" t="n">
        <v>24</v>
      </c>
      <c r="E236" s="222" t="n">
        <v>4.6753</v>
      </c>
      <c r="F236" s="205">
        <f>D236*E236</f>
        <v/>
      </c>
      <c r="G236" s="47" t="inlineStr">
        <is>
          <t>Etapa 2, Precio unitario</t>
        </is>
      </c>
      <c r="H236" s="207" t="n"/>
    </row>
    <row r="237">
      <c r="A237" s="47" t="inlineStr">
        <is>
          <t>5.4.7</t>
        </is>
      </c>
      <c r="B237" s="214" t="inlineStr">
        <is>
          <t>Radier</t>
        </is>
      </c>
      <c r="C237" s="48" t="inlineStr">
        <is>
          <t>m3</t>
        </is>
      </c>
      <c r="D237" s="221" t="n">
        <v>68.26000000000001</v>
      </c>
      <c r="E237" s="222" t="n">
        <v>7.2727</v>
      </c>
      <c r="F237" s="205">
        <f>D237*E237</f>
        <v/>
      </c>
      <c r="G237" s="47" t="inlineStr">
        <is>
          <t>Etapa 2, Suma alzada</t>
        </is>
      </c>
      <c r="H237" s="207" t="n"/>
    </row>
    <row r="238">
      <c r="A238" s="47" t="inlineStr">
        <is>
          <t>5.4.8</t>
        </is>
      </c>
      <c r="B238" s="214" t="inlineStr">
        <is>
          <t>Monitoreo de Pernos</t>
        </is>
      </c>
      <c r="C238" s="48" t="inlineStr">
        <is>
          <t>gl</t>
        </is>
      </c>
      <c r="D238" s="221" t="n">
        <v>1</v>
      </c>
      <c r="E238" s="222" t="n">
        <v>0.4675</v>
      </c>
      <c r="F238" s="205">
        <f>D238*E238</f>
        <v/>
      </c>
      <c r="G238" s="47" t="inlineStr">
        <is>
          <t>Etapa 2, Suma alzada</t>
        </is>
      </c>
      <c r="H238" s="207" t="n"/>
    </row>
    <row r="239">
      <c r="A239" s="47" t="inlineStr">
        <is>
          <t>5.4.9</t>
        </is>
      </c>
      <c r="B239" s="214" t="inlineStr">
        <is>
          <t>Suministro e instalación de Pernos de Convergencia</t>
        </is>
      </c>
      <c r="C239" s="48" t="inlineStr">
        <is>
          <t>und</t>
        </is>
      </c>
      <c r="D239" s="49" t="n"/>
      <c r="E239" s="197" t="n"/>
      <c r="F239" s="210">
        <f>+D239*E239</f>
        <v/>
      </c>
      <c r="G239" s="47" t="inlineStr">
        <is>
          <t>Etapa 2, Suma alzada</t>
        </is>
      </c>
      <c r="H239" s="207" t="n"/>
    </row>
    <row r="240">
      <c r="A240" s="47" t="inlineStr">
        <is>
          <t>5.4.10</t>
        </is>
      </c>
      <c r="B240" s="214" t="inlineStr">
        <is>
          <t>Suministro e instalación de Pernos de Asentamiento Superficial</t>
        </is>
      </c>
      <c r="C240" s="48" t="inlineStr">
        <is>
          <t>und</t>
        </is>
      </c>
      <c r="D240" s="49" t="n"/>
      <c r="E240" s="197" t="n"/>
      <c r="F240" s="210">
        <f>+D240*E240</f>
        <v/>
      </c>
      <c r="G240" s="47" t="inlineStr">
        <is>
          <t>Etapa 2, Suma alzada</t>
        </is>
      </c>
      <c r="H240" s="207" t="n"/>
    </row>
    <row r="241">
      <c r="A241" s="47" t="inlineStr">
        <is>
          <t>5.4.11</t>
        </is>
      </c>
      <c r="B241" s="214" t="inlineStr">
        <is>
          <t>Suministro e instalación de Pernos de Asentamiento Subsuperficial</t>
        </is>
      </c>
      <c r="C241" s="48" t="inlineStr">
        <is>
          <t>und</t>
        </is>
      </c>
      <c r="D241" s="49" t="n"/>
      <c r="E241" s="197" t="n"/>
      <c r="F241" s="210">
        <f>+D241*E241</f>
        <v/>
      </c>
      <c r="G241" s="47" t="inlineStr">
        <is>
          <t>Etapa 2, Suma alzada</t>
        </is>
      </c>
      <c r="H241" s="207" t="n"/>
    </row>
    <row r="242">
      <c r="A242" s="47" t="inlineStr">
        <is>
          <t>5.4.12</t>
        </is>
      </c>
      <c r="B242" s="214" t="inlineStr">
        <is>
          <t>Montaje de estructuras de soporte de cables AT</t>
        </is>
      </c>
      <c r="C242" s="48" t="inlineStr">
        <is>
          <t>kg</t>
        </is>
      </c>
      <c r="D242" s="221" t="n">
        <v>4118</v>
      </c>
      <c r="E242" s="222" t="n">
        <v>0.2208</v>
      </c>
      <c r="F242" s="205">
        <f>D242*E242</f>
        <v/>
      </c>
      <c r="G242" s="47" t="inlineStr">
        <is>
          <t>Etapa 2, Suma alzada</t>
        </is>
      </c>
      <c r="H242" s="208" t="n"/>
    </row>
    <row r="243">
      <c r="A243" s="47" t="n"/>
      <c r="B243" s="47" t="n"/>
      <c r="C243" s="48" t="n"/>
      <c r="D243" s="49" t="n"/>
      <c r="E243" s="209" t="n"/>
      <c r="F243" s="210" t="n"/>
      <c r="G243" s="62" t="n"/>
      <c r="H243" s="47" t="n"/>
    </row>
    <row r="244">
      <c r="A244" s="56" t="inlineStr">
        <is>
          <t>5.5</t>
        </is>
      </c>
      <c r="B244" s="219" t="inlineStr">
        <is>
          <t>Tramo 5 Túnel Liner (entre Piques 5 y 6)</t>
        </is>
      </c>
      <c r="C244" s="57" t="n"/>
      <c r="D244" s="58" t="n"/>
      <c r="E244" s="197" t="n"/>
      <c r="F244" s="220">
        <f>+SUM(F245:F257)</f>
        <v/>
      </c>
      <c r="G244" s="63" t="n"/>
      <c r="H244" s="64" t="n"/>
    </row>
    <row r="245" ht="12.75" customHeight="1">
      <c r="A245" s="47" t="inlineStr">
        <is>
          <t>5.5.1</t>
        </is>
      </c>
      <c r="B245" s="214" t="inlineStr">
        <is>
          <t>Excavación del túnel</t>
        </is>
      </c>
      <c r="C245" s="48" t="inlineStr">
        <is>
          <t>m3</t>
        </is>
      </c>
      <c r="D245" s="221" t="n">
        <v>1142.35</v>
      </c>
      <c r="E245" s="222" t="n">
        <v>2.4675</v>
      </c>
      <c r="F245" s="205">
        <f>D245*E245</f>
        <v/>
      </c>
      <c r="G245" s="47" t="inlineStr">
        <is>
          <t>Etapa 2, Suma alzada</t>
        </is>
      </c>
      <c r="H245" s="167" t="inlineStr">
        <is>
          <t>Partidas a suma alzada: 
5% con el cumplimiento de Condiciones contractuales, 85% por avance proporcional y 10% con la recepción provisional de la obra
Partidas a precio unitario:
90% por avance proporcional y 10% con la recepción provisional de la obra</t>
        </is>
      </c>
    </row>
    <row r="246">
      <c r="A246" s="47" t="inlineStr">
        <is>
          <t>5.5.2</t>
        </is>
      </c>
      <c r="B246" s="214" t="inlineStr">
        <is>
          <t>Retiro excavación y transporte a botadero (geométrico)</t>
        </is>
      </c>
      <c r="C246" s="48" t="inlineStr">
        <is>
          <t>m3</t>
        </is>
      </c>
      <c r="D246" s="221" t="n">
        <v>1142.35</v>
      </c>
      <c r="E246" s="222" t="n">
        <v>0.987</v>
      </c>
      <c r="F246" s="205">
        <f>D246*E246</f>
        <v/>
      </c>
      <c r="G246" s="47" t="inlineStr">
        <is>
          <t>Etapa 2, Suma alzada</t>
        </is>
      </c>
      <c r="H246" s="207" t="n"/>
    </row>
    <row r="247">
      <c r="A247" s="47" t="inlineStr">
        <is>
          <t>5.5.3</t>
        </is>
      </c>
      <c r="B247" s="214" t="inlineStr">
        <is>
          <t>Montaje Liner (Incluyendo sello entre placas y mortero)</t>
        </is>
      </c>
      <c r="C247" s="48" t="inlineStr">
        <is>
          <t>m</t>
        </is>
      </c>
      <c r="D247" s="221" t="n">
        <v>297.8</v>
      </c>
      <c r="E247" s="222" t="n">
        <v>4.6753</v>
      </c>
      <c r="F247" s="205">
        <f>D247*E247</f>
        <v/>
      </c>
      <c r="G247" s="47" t="inlineStr">
        <is>
          <t>Etapa 2, Suma alzada</t>
        </is>
      </c>
      <c r="H247" s="207" t="n"/>
    </row>
    <row r="248">
      <c r="A248" s="47" t="inlineStr">
        <is>
          <t>5.5.4</t>
        </is>
      </c>
      <c r="B248" s="214" t="inlineStr">
        <is>
          <t>Pernos frente fibra de vidrio 4m (eventual)</t>
        </is>
      </c>
      <c r="C248" s="48" t="inlineStr">
        <is>
          <t>und</t>
        </is>
      </c>
      <c r="D248" s="224" t="n">
        <v>26.95</v>
      </c>
      <c r="E248" s="222" t="n">
        <v>1.4286</v>
      </c>
      <c r="F248" s="205">
        <f>D248*E248</f>
        <v/>
      </c>
      <c r="G248" s="47" t="inlineStr">
        <is>
          <t>Etapa 2, Precio unitario</t>
        </is>
      </c>
      <c r="H248" s="207" t="n"/>
    </row>
    <row r="249">
      <c r="A249" s="47" t="inlineStr">
        <is>
          <t>5.5.5</t>
        </is>
      </c>
      <c r="B249" s="214" t="inlineStr">
        <is>
          <t>Shotcrete Frente (eventual)</t>
        </is>
      </c>
      <c r="C249" s="48" t="inlineStr">
        <is>
          <t>m3</t>
        </is>
      </c>
      <c r="D249" s="224" t="n">
        <v>13.475</v>
      </c>
      <c r="E249" s="222" t="n">
        <v>5.4545</v>
      </c>
      <c r="F249" s="205">
        <f>D249*E249</f>
        <v/>
      </c>
      <c r="G249" s="47" t="inlineStr">
        <is>
          <t>Etapa 2, Precio unitario</t>
        </is>
      </c>
      <c r="H249" s="207" t="n"/>
    </row>
    <row r="250">
      <c r="A250" s="47" t="inlineStr">
        <is>
          <t>5.5.6</t>
        </is>
      </c>
      <c r="B250" s="214" t="inlineStr">
        <is>
          <t>Paraguas Micropilotes (eventual)</t>
        </is>
      </c>
      <c r="C250" s="48" t="inlineStr">
        <is>
          <t>und</t>
        </is>
      </c>
      <c r="D250" s="224" t="n">
        <v>24</v>
      </c>
      <c r="E250" s="222" t="n">
        <v>4.6753</v>
      </c>
      <c r="F250" s="205">
        <f>D250*E250</f>
        <v/>
      </c>
      <c r="G250" s="47" t="inlineStr">
        <is>
          <t>Etapa 2, Precio unitario</t>
        </is>
      </c>
      <c r="H250" s="207" t="n"/>
    </row>
    <row r="251">
      <c r="A251" s="47" t="inlineStr">
        <is>
          <t>5.5.7</t>
        </is>
      </c>
      <c r="B251" s="214" t="inlineStr">
        <is>
          <t>Radier</t>
        </is>
      </c>
      <c r="C251" s="48" t="inlineStr">
        <is>
          <t>m3</t>
        </is>
      </c>
      <c r="D251" s="221" t="n">
        <v>98.72</v>
      </c>
      <c r="E251" s="222" t="n">
        <v>7.2727</v>
      </c>
      <c r="F251" s="205">
        <f>D251*E251</f>
        <v/>
      </c>
      <c r="G251" s="47" t="inlineStr">
        <is>
          <t>Etapa 2, Suma alzada</t>
        </is>
      </c>
      <c r="H251" s="207" t="n"/>
    </row>
    <row r="252">
      <c r="A252" s="47" t="inlineStr">
        <is>
          <t>5.5.8</t>
        </is>
      </c>
      <c r="B252" s="214" t="inlineStr">
        <is>
          <t>Monitoreo de Pernos</t>
        </is>
      </c>
      <c r="C252" s="48" t="inlineStr">
        <is>
          <t>gl</t>
        </is>
      </c>
      <c r="D252" s="221" t="n">
        <v>1</v>
      </c>
      <c r="E252" s="222" t="n">
        <v>0.4675</v>
      </c>
      <c r="F252" s="205">
        <f>D252*E252</f>
        <v/>
      </c>
      <c r="G252" s="47" t="inlineStr">
        <is>
          <t>Etapa 2, Suma alzada</t>
        </is>
      </c>
      <c r="H252" s="207" t="n"/>
    </row>
    <row r="253">
      <c r="A253" s="47" t="inlineStr">
        <is>
          <t>5.5.9</t>
        </is>
      </c>
      <c r="B253" s="214" t="inlineStr">
        <is>
          <t>Suministro e instalación de Pernos de Convergencia</t>
        </is>
      </c>
      <c r="C253" s="48" t="inlineStr">
        <is>
          <t>und</t>
        </is>
      </c>
      <c r="D253" s="49" t="n"/>
      <c r="E253" s="197" t="n"/>
      <c r="F253" s="210">
        <f>+D253*E253</f>
        <v/>
      </c>
      <c r="G253" s="47" t="inlineStr">
        <is>
          <t>Etapa 2, Suma alzada</t>
        </is>
      </c>
      <c r="H253" s="207" t="n"/>
    </row>
    <row r="254">
      <c r="A254" s="47" t="inlineStr">
        <is>
          <t>5.5.10</t>
        </is>
      </c>
      <c r="B254" s="214" t="inlineStr">
        <is>
          <t>Suministro e instalación de Pernos de Asentamiento Superficial</t>
        </is>
      </c>
      <c r="C254" s="48" t="inlineStr">
        <is>
          <t>und</t>
        </is>
      </c>
      <c r="D254" s="49" t="n"/>
      <c r="E254" s="197" t="n"/>
      <c r="F254" s="210">
        <f>+D254*E254</f>
        <v/>
      </c>
      <c r="G254" s="47" t="inlineStr">
        <is>
          <t>Etapa 2, Suma alzada</t>
        </is>
      </c>
      <c r="H254" s="207" t="n"/>
    </row>
    <row r="255">
      <c r="A255" s="47" t="inlineStr">
        <is>
          <t>5.5.11</t>
        </is>
      </c>
      <c r="B255" s="214" t="inlineStr">
        <is>
          <t>Suministro e instalación de Pernos de Asentamiento Subsuperficial</t>
        </is>
      </c>
      <c r="C255" s="48" t="inlineStr">
        <is>
          <t>und</t>
        </is>
      </c>
      <c r="D255" s="49" t="n"/>
      <c r="E255" s="197" t="n"/>
      <c r="F255" s="210">
        <f>+D255*E255</f>
        <v/>
      </c>
      <c r="G255" s="47" t="inlineStr">
        <is>
          <t>Etapa 2, Suma alzada</t>
        </is>
      </c>
      <c r="H255" s="207" t="n"/>
    </row>
    <row r="256">
      <c r="A256" s="47" t="inlineStr">
        <is>
          <t>5.5.12</t>
        </is>
      </c>
      <c r="B256" s="214" t="inlineStr">
        <is>
          <t>Montaje de estructuras de soporte de cables AT</t>
        </is>
      </c>
      <c r="C256" s="48" t="inlineStr">
        <is>
          <t>kg</t>
        </is>
      </c>
      <c r="D256" s="221" t="n">
        <v>5956</v>
      </c>
      <c r="E256" s="222" t="n">
        <v>0.2208</v>
      </c>
      <c r="F256" s="205">
        <f>D256*E256</f>
        <v/>
      </c>
      <c r="G256" s="47" t="inlineStr">
        <is>
          <t>Etapa 2, Suma alzada</t>
        </is>
      </c>
      <c r="H256" s="208" t="n"/>
    </row>
    <row r="257">
      <c r="A257" s="47" t="n"/>
      <c r="B257" s="47" t="n"/>
      <c r="C257" s="48" t="n"/>
      <c r="D257" s="49" t="n"/>
      <c r="E257" s="209" t="n"/>
      <c r="F257" s="210" t="n"/>
      <c r="G257" s="62" t="n"/>
      <c r="H257" s="47" t="n"/>
    </row>
    <row r="258">
      <c r="A258" s="56" t="inlineStr">
        <is>
          <t>5.6</t>
        </is>
      </c>
      <c r="B258" s="219" t="inlineStr">
        <is>
          <t>Tramo 6 Túnel Liner (entre Piques 6 y 7)</t>
        </is>
      </c>
      <c r="C258" s="57" t="n"/>
      <c r="D258" s="58" t="n"/>
      <c r="E258" s="197" t="n"/>
      <c r="F258" s="220">
        <f>+SUM(F259:F271)</f>
        <v/>
      </c>
      <c r="G258" s="63" t="n"/>
      <c r="H258" s="64" t="n"/>
    </row>
    <row r="259" ht="12.75" customHeight="1">
      <c r="A259" s="47" t="inlineStr">
        <is>
          <t>5.6.1</t>
        </is>
      </c>
      <c r="B259" s="214" t="inlineStr">
        <is>
          <t>Excavación del túnel</t>
        </is>
      </c>
      <c r="C259" s="48" t="inlineStr">
        <is>
          <t>m3</t>
        </is>
      </c>
      <c r="D259" s="221" t="n">
        <v>1219.84</v>
      </c>
      <c r="E259" s="222" t="n">
        <v>2.4675</v>
      </c>
      <c r="F259" s="205">
        <f>D259*E259</f>
        <v/>
      </c>
      <c r="G259" s="47" t="inlineStr">
        <is>
          <t>Etapa 2, Suma alzada</t>
        </is>
      </c>
      <c r="H259" s="167" t="inlineStr">
        <is>
          <t>Partidas a suma alzada: 
5% con el cumplimiento de Condiciones contractuales, 85% por avance proporcional y 10% con la recepción provisional de la obra
Partidas a precio unitario:
90% por avance proporcional y 10% con la recepción provisional de la obra</t>
        </is>
      </c>
    </row>
    <row r="260">
      <c r="A260" s="47" t="inlineStr">
        <is>
          <t>5.6.2</t>
        </is>
      </c>
      <c r="B260" s="214" t="inlineStr">
        <is>
          <t>Retiro excavación y transporte a botadero (geométrico)</t>
        </is>
      </c>
      <c r="C260" s="48" t="inlineStr">
        <is>
          <t>m3</t>
        </is>
      </c>
      <c r="D260" s="221" t="n">
        <v>1219.84</v>
      </c>
      <c r="E260" s="222" t="n">
        <v>0.987</v>
      </c>
      <c r="F260" s="205">
        <f>D260*E260</f>
        <v/>
      </c>
      <c r="G260" s="47" t="inlineStr">
        <is>
          <t>Etapa 2, Suma alzada</t>
        </is>
      </c>
      <c r="H260" s="207" t="n"/>
    </row>
    <row r="261">
      <c r="A261" s="47" t="inlineStr">
        <is>
          <t>5.6.3</t>
        </is>
      </c>
      <c r="B261" s="214" t="inlineStr">
        <is>
          <t>Montaje Liner (Incluyendo sello entre placas y mortero)</t>
        </is>
      </c>
      <c r="C261" s="48" t="inlineStr">
        <is>
          <t>m</t>
        </is>
      </c>
      <c r="D261" s="221" t="n">
        <v>318</v>
      </c>
      <c r="E261" s="222" t="n">
        <v>4.6753</v>
      </c>
      <c r="F261" s="205">
        <f>D261*E261</f>
        <v/>
      </c>
      <c r="G261" s="47" t="inlineStr">
        <is>
          <t>Etapa 2, Suma alzada</t>
        </is>
      </c>
      <c r="H261" s="207" t="n"/>
    </row>
    <row r="262">
      <c r="A262" s="47" t="inlineStr">
        <is>
          <t>5.6.4</t>
        </is>
      </c>
      <c r="B262" s="214" t="inlineStr">
        <is>
          <t>Pernos frente fibra de vidrio 4m (eventual)</t>
        </is>
      </c>
      <c r="C262" s="48" t="inlineStr">
        <is>
          <t>und</t>
        </is>
      </c>
      <c r="D262" s="204" t="n">
        <v>26.71</v>
      </c>
      <c r="E262" s="222" t="n">
        <v>1.4286</v>
      </c>
      <c r="F262" s="205">
        <f>D262*E262</f>
        <v/>
      </c>
      <c r="G262" s="47" t="inlineStr">
        <is>
          <t>Etapa 2, Precio unitario</t>
        </is>
      </c>
      <c r="H262" s="207" t="n"/>
    </row>
    <row r="263">
      <c r="A263" s="47" t="inlineStr">
        <is>
          <t>5.6.5</t>
        </is>
      </c>
      <c r="B263" s="214" t="inlineStr">
        <is>
          <t>Shotcrete Frente (eventual)</t>
        </is>
      </c>
      <c r="C263" s="48" t="inlineStr">
        <is>
          <t>m3</t>
        </is>
      </c>
      <c r="D263" s="204" t="n">
        <v>13.355</v>
      </c>
      <c r="E263" s="222" t="n">
        <v>5.4545</v>
      </c>
      <c r="F263" s="205">
        <f>D263*E263</f>
        <v/>
      </c>
      <c r="G263" s="47" t="inlineStr">
        <is>
          <t>Etapa 2, Precio unitario</t>
        </is>
      </c>
      <c r="H263" s="207" t="n"/>
    </row>
    <row r="264">
      <c r="A264" s="47" t="inlineStr">
        <is>
          <t>5.6.6</t>
        </is>
      </c>
      <c r="B264" s="214" t="inlineStr">
        <is>
          <t>Paraguas Micropilotes (eventual)</t>
        </is>
      </c>
      <c r="C264" s="48" t="inlineStr">
        <is>
          <t>und</t>
        </is>
      </c>
      <c r="D264" s="204" t="n">
        <v>24</v>
      </c>
      <c r="E264" s="222" t="n">
        <v>4.6753</v>
      </c>
      <c r="F264" s="205">
        <f>D264*E264</f>
        <v/>
      </c>
      <c r="G264" s="47" t="inlineStr">
        <is>
          <t>Etapa 2, Precio unitario</t>
        </is>
      </c>
      <c r="H264" s="207" t="n"/>
    </row>
    <row r="265">
      <c r="A265" s="47" t="inlineStr">
        <is>
          <t>5.6.7</t>
        </is>
      </c>
      <c r="B265" s="214" t="inlineStr">
        <is>
          <t>Radier</t>
        </is>
      </c>
      <c r="C265" s="48" t="inlineStr">
        <is>
          <t>m3</t>
        </is>
      </c>
      <c r="D265" s="221" t="n">
        <v>105.42</v>
      </c>
      <c r="E265" s="222" t="n">
        <v>7.2727</v>
      </c>
      <c r="F265" s="205">
        <f>D265*E265</f>
        <v/>
      </c>
      <c r="G265" s="47" t="inlineStr">
        <is>
          <t>Etapa 2, Suma alzada</t>
        </is>
      </c>
      <c r="H265" s="207" t="n"/>
    </row>
    <row r="266">
      <c r="A266" s="47" t="inlineStr">
        <is>
          <t>5.6.8</t>
        </is>
      </c>
      <c r="B266" s="214" t="inlineStr">
        <is>
          <t>Monitoreo de Pernos</t>
        </is>
      </c>
      <c r="C266" s="48" t="inlineStr">
        <is>
          <t>gl</t>
        </is>
      </c>
      <c r="D266" s="221" t="n">
        <v>1</v>
      </c>
      <c r="E266" s="222" t="n">
        <v>0.4675</v>
      </c>
      <c r="F266" s="205">
        <f>D266*E266</f>
        <v/>
      </c>
      <c r="G266" s="47" t="inlineStr">
        <is>
          <t>Etapa 2, Suma alzada</t>
        </is>
      </c>
      <c r="H266" s="207" t="n"/>
    </row>
    <row r="267">
      <c r="A267" s="47" t="inlineStr">
        <is>
          <t>5.6.9</t>
        </is>
      </c>
      <c r="B267" s="214" t="inlineStr">
        <is>
          <t>Suministro e instalación de Pernos de Convergencia</t>
        </is>
      </c>
      <c r="C267" s="48" t="inlineStr">
        <is>
          <t>und</t>
        </is>
      </c>
      <c r="D267" s="49" t="n"/>
      <c r="E267" s="197" t="n"/>
      <c r="F267" s="210">
        <f>+D267*E267</f>
        <v/>
      </c>
      <c r="G267" s="47" t="inlineStr">
        <is>
          <t>Etapa 2, Suma alzada</t>
        </is>
      </c>
      <c r="H267" s="207" t="n"/>
    </row>
    <row r="268">
      <c r="A268" s="47" t="inlineStr">
        <is>
          <t>5.6.10</t>
        </is>
      </c>
      <c r="B268" s="214" t="inlineStr">
        <is>
          <t>Suministro e instalación de Pernos de Asentamiento Superficial</t>
        </is>
      </c>
      <c r="C268" s="48" t="inlineStr">
        <is>
          <t>und</t>
        </is>
      </c>
      <c r="D268" s="49" t="n"/>
      <c r="E268" s="197" t="n"/>
      <c r="F268" s="210">
        <f>+D268*E268</f>
        <v/>
      </c>
      <c r="G268" s="47" t="inlineStr">
        <is>
          <t>Etapa 2, Suma alzada</t>
        </is>
      </c>
      <c r="H268" s="207" t="n"/>
    </row>
    <row r="269">
      <c r="A269" s="47" t="inlineStr">
        <is>
          <t>5.6.11</t>
        </is>
      </c>
      <c r="B269" s="214" t="inlineStr">
        <is>
          <t>Suministro e instalación de Pernos de Asentamiento Subsuperficial</t>
        </is>
      </c>
      <c r="C269" s="48" t="inlineStr">
        <is>
          <t>und</t>
        </is>
      </c>
      <c r="D269" s="49" t="n"/>
      <c r="E269" s="197" t="n"/>
      <c r="F269" s="210">
        <f>+D269*E269</f>
        <v/>
      </c>
      <c r="G269" s="47" t="inlineStr">
        <is>
          <t>Etapa 2, Suma alzada</t>
        </is>
      </c>
      <c r="H269" s="207" t="n"/>
    </row>
    <row r="270">
      <c r="A270" s="47" t="inlineStr">
        <is>
          <t>5.6.12</t>
        </is>
      </c>
      <c r="B270" s="214" t="inlineStr">
        <is>
          <t>Montaje de estructuras de soporte de cables AT</t>
        </is>
      </c>
      <c r="C270" s="48" t="inlineStr">
        <is>
          <t>kg</t>
        </is>
      </c>
      <c r="D270" s="221" t="n">
        <v>6360</v>
      </c>
      <c r="E270" s="222" t="n">
        <v>0.2208</v>
      </c>
      <c r="F270" s="205">
        <f>D270*E270</f>
        <v/>
      </c>
      <c r="G270" s="47" t="inlineStr">
        <is>
          <t>Etapa 2, Suma alzada</t>
        </is>
      </c>
      <c r="H270" s="208" t="n"/>
    </row>
    <row r="271">
      <c r="A271" s="47" t="n"/>
      <c r="B271" s="47" t="n"/>
      <c r="C271" s="48" t="n"/>
      <c r="D271" s="49" t="n"/>
      <c r="E271" s="209" t="n"/>
      <c r="F271" s="210" t="n"/>
      <c r="G271" s="62" t="n"/>
      <c r="H271" s="47" t="n"/>
    </row>
    <row r="272">
      <c r="A272" s="56" t="inlineStr">
        <is>
          <t>5.7</t>
        </is>
      </c>
      <c r="B272" s="219" t="inlineStr">
        <is>
          <t>Tramo 7 Túnel Liner (entre Piques 7 y 8)</t>
        </is>
      </c>
      <c r="C272" s="57" t="n"/>
      <c r="D272" s="58" t="n"/>
      <c r="E272" s="197" t="n"/>
      <c r="F272" s="220">
        <f>+SUM(F273:F285)</f>
        <v/>
      </c>
      <c r="G272" s="63" t="n"/>
      <c r="H272" s="64" t="n"/>
    </row>
    <row r="273" ht="12.75" customHeight="1">
      <c r="A273" s="47" t="inlineStr">
        <is>
          <t>5.7.1</t>
        </is>
      </c>
      <c r="B273" s="214" t="inlineStr">
        <is>
          <t>Excavación del túnel</t>
        </is>
      </c>
      <c r="C273" s="48" t="inlineStr">
        <is>
          <t>m3</t>
        </is>
      </c>
      <c r="D273" s="221" t="n">
        <v>1410.48</v>
      </c>
      <c r="E273" s="222" t="n">
        <v>2.4675</v>
      </c>
      <c r="F273" s="205">
        <f>D273*E273</f>
        <v/>
      </c>
      <c r="G273" s="47" t="inlineStr">
        <is>
          <t>Etapa 2, Suma alzada</t>
        </is>
      </c>
      <c r="H273" s="167" t="inlineStr">
        <is>
          <t>Partidas a suma alzada: 
5% con el cumplimiento de Condiciones contractuales, 85% por avance proporcional y 10% con la recepción provisional de la obra
Partidas a precio unitario:
90% por avance proporcional y 10% con la recepción provisional de la obra</t>
        </is>
      </c>
    </row>
    <row r="274">
      <c r="A274" s="47" t="inlineStr">
        <is>
          <t>5.7.2</t>
        </is>
      </c>
      <c r="B274" s="214" t="inlineStr">
        <is>
          <t>Retiro excavación y transporte a botadero (geométrico)</t>
        </is>
      </c>
      <c r="C274" s="48" t="inlineStr">
        <is>
          <t>m3</t>
        </is>
      </c>
      <c r="D274" s="221" t="n">
        <v>1410.48</v>
      </c>
      <c r="E274" s="222" t="n">
        <v>0.987</v>
      </c>
      <c r="F274" s="205">
        <f>D274*E274</f>
        <v/>
      </c>
      <c r="G274" s="47" t="inlineStr">
        <is>
          <t>Etapa 2, Suma alzada</t>
        </is>
      </c>
      <c r="H274" s="207" t="n"/>
    </row>
    <row r="275">
      <c r="A275" s="47" t="inlineStr">
        <is>
          <t>5.7.3</t>
        </is>
      </c>
      <c r="B275" s="214" t="inlineStr">
        <is>
          <t>Montaje Liner (Incluyendo sello entre placas y mortero)</t>
        </is>
      </c>
      <c r="C275" s="48" t="inlineStr">
        <is>
          <t>m</t>
        </is>
      </c>
      <c r="D275" s="221" t="n">
        <v>367.7</v>
      </c>
      <c r="E275" s="222" t="n">
        <v>4.6753</v>
      </c>
      <c r="F275" s="205">
        <f>D275*E275</f>
        <v/>
      </c>
      <c r="G275" s="47" t="inlineStr">
        <is>
          <t>Etapa 2, Suma alzada</t>
        </is>
      </c>
      <c r="H275" s="207" t="n"/>
    </row>
    <row r="276">
      <c r="A276" s="47" t="inlineStr">
        <is>
          <t>5.7.4</t>
        </is>
      </c>
      <c r="B276" s="214" t="inlineStr">
        <is>
          <t>Pernos frente fibra de vidrio 4m (eventual)</t>
        </is>
      </c>
      <c r="C276" s="48" t="inlineStr">
        <is>
          <t>und</t>
        </is>
      </c>
      <c r="D276" s="204" t="n">
        <v>26.76</v>
      </c>
      <c r="E276" s="222" t="n">
        <v>1.4286</v>
      </c>
      <c r="F276" s="205">
        <f>D276*E276</f>
        <v/>
      </c>
      <c r="G276" s="47" t="inlineStr">
        <is>
          <t>Etapa 2, Precio unitario</t>
        </is>
      </c>
      <c r="H276" s="207" t="n"/>
    </row>
    <row r="277">
      <c r="A277" s="47" t="inlineStr">
        <is>
          <t>5.7.5</t>
        </is>
      </c>
      <c r="B277" s="214" t="inlineStr">
        <is>
          <t>Shotcrete Frente (eventual)</t>
        </is>
      </c>
      <c r="C277" s="48" t="inlineStr">
        <is>
          <t>m3</t>
        </is>
      </c>
      <c r="D277" s="204" t="n">
        <v>13.38</v>
      </c>
      <c r="E277" s="222" t="n">
        <v>5.4545</v>
      </c>
      <c r="F277" s="205">
        <f>D277*E277</f>
        <v/>
      </c>
      <c r="G277" s="47" t="inlineStr">
        <is>
          <t>Etapa 2, Precio unitario</t>
        </is>
      </c>
      <c r="H277" s="207" t="n"/>
    </row>
    <row r="278">
      <c r="A278" s="47" t="inlineStr">
        <is>
          <t>5.7.6</t>
        </is>
      </c>
      <c r="B278" s="214" t="inlineStr">
        <is>
          <t>Paraguas Micropilotes (eventual)</t>
        </is>
      </c>
      <c r="C278" s="48" t="inlineStr">
        <is>
          <t>und</t>
        </is>
      </c>
      <c r="D278" s="204" t="n">
        <v>24</v>
      </c>
      <c r="E278" s="222" t="n">
        <v>4.6753</v>
      </c>
      <c r="F278" s="205">
        <f>D278*E278</f>
        <v/>
      </c>
      <c r="G278" s="47" t="inlineStr">
        <is>
          <t>Etapa 2, Precio unitario</t>
        </is>
      </c>
      <c r="H278" s="207" t="n"/>
    </row>
    <row r="279">
      <c r="A279" s="47" t="inlineStr">
        <is>
          <t>5.7.7</t>
        </is>
      </c>
      <c r="B279" s="214" t="inlineStr">
        <is>
          <t>Radier</t>
        </is>
      </c>
      <c r="C279" s="48" t="inlineStr">
        <is>
          <t>m3</t>
        </is>
      </c>
      <c r="D279" s="221" t="n">
        <v>121.89</v>
      </c>
      <c r="E279" s="222" t="n">
        <v>7.2727</v>
      </c>
      <c r="F279" s="205">
        <f>D279*E279</f>
        <v/>
      </c>
      <c r="G279" s="47" t="inlineStr">
        <is>
          <t>Etapa 2, Suma alzada</t>
        </is>
      </c>
      <c r="H279" s="207" t="n"/>
    </row>
    <row r="280">
      <c r="A280" s="47" t="inlineStr">
        <is>
          <t>5.7.8</t>
        </is>
      </c>
      <c r="B280" s="214" t="inlineStr">
        <is>
          <t>Monitoreo de Pernos</t>
        </is>
      </c>
      <c r="C280" s="48" t="inlineStr">
        <is>
          <t>gl</t>
        </is>
      </c>
      <c r="D280" s="221" t="n">
        <v>1</v>
      </c>
      <c r="E280" s="222" t="n">
        <v>0.4675</v>
      </c>
      <c r="F280" s="205">
        <f>D280*E280</f>
        <v/>
      </c>
      <c r="G280" s="47" t="inlineStr">
        <is>
          <t>Etapa 2, Suma alzada</t>
        </is>
      </c>
      <c r="H280" s="207" t="n"/>
    </row>
    <row r="281">
      <c r="A281" s="47" t="inlineStr">
        <is>
          <t>5.7.9</t>
        </is>
      </c>
      <c r="B281" s="214" t="inlineStr">
        <is>
          <t>Suministro e instalación de Pernos de Convergencia</t>
        </is>
      </c>
      <c r="C281" s="48" t="inlineStr">
        <is>
          <t>und</t>
        </is>
      </c>
      <c r="D281" s="49" t="n"/>
      <c r="E281" s="197" t="n"/>
      <c r="F281" s="210">
        <f>+D281*E281</f>
        <v/>
      </c>
      <c r="G281" s="47" t="inlineStr">
        <is>
          <t>Etapa 2, Suma alzada</t>
        </is>
      </c>
      <c r="H281" s="207" t="n"/>
    </row>
    <row r="282">
      <c r="A282" s="47" t="inlineStr">
        <is>
          <t>5.7.10</t>
        </is>
      </c>
      <c r="B282" s="214" t="inlineStr">
        <is>
          <t>Suministro e instalación de Pernos de Asentamiento Superficial</t>
        </is>
      </c>
      <c r="C282" s="48" t="inlineStr">
        <is>
          <t>und</t>
        </is>
      </c>
      <c r="D282" s="49" t="n"/>
      <c r="E282" s="197" t="n"/>
      <c r="F282" s="210">
        <f>+D282*E282</f>
        <v/>
      </c>
      <c r="G282" s="47" t="inlineStr">
        <is>
          <t>Etapa 2, Suma alzada</t>
        </is>
      </c>
      <c r="H282" s="207" t="n"/>
    </row>
    <row r="283">
      <c r="A283" s="47" t="inlineStr">
        <is>
          <t>5.7.11</t>
        </is>
      </c>
      <c r="B283" s="214" t="inlineStr">
        <is>
          <t>Suministro e instalación de Pernos de Asentamiento Subsuperficial</t>
        </is>
      </c>
      <c r="C283" s="48" t="inlineStr">
        <is>
          <t>und</t>
        </is>
      </c>
      <c r="D283" s="49" t="n"/>
      <c r="E283" s="197" t="n"/>
      <c r="F283" s="210">
        <f>+D283*E283</f>
        <v/>
      </c>
      <c r="G283" s="47" t="inlineStr">
        <is>
          <t>Etapa 2, Suma alzada</t>
        </is>
      </c>
      <c r="H283" s="207" t="n"/>
    </row>
    <row r="284">
      <c r="A284" s="47" t="inlineStr">
        <is>
          <t>5.7.12</t>
        </is>
      </c>
      <c r="B284" s="214" t="inlineStr">
        <is>
          <t>Montaje de estructuras de soporte de cables AT</t>
        </is>
      </c>
      <c r="C284" s="48" t="inlineStr">
        <is>
          <t>kg</t>
        </is>
      </c>
      <c r="D284" s="221" t="n">
        <v>7354</v>
      </c>
      <c r="E284" s="222" t="n">
        <v>0.2208</v>
      </c>
      <c r="F284" s="205">
        <f>D284*E284</f>
        <v/>
      </c>
      <c r="G284" s="47" t="inlineStr">
        <is>
          <t>Etapa 2, Suma alzada</t>
        </is>
      </c>
      <c r="H284" s="208" t="n"/>
    </row>
    <row r="285">
      <c r="A285" s="47" t="n"/>
      <c r="B285" s="47" t="n"/>
      <c r="C285" s="48" t="n"/>
      <c r="D285" s="49" t="n"/>
      <c r="E285" s="209" t="n"/>
      <c r="F285" s="210" t="n"/>
      <c r="G285" s="62" t="n"/>
      <c r="H285" s="47" t="n"/>
    </row>
    <row r="286">
      <c r="A286" s="56" t="inlineStr">
        <is>
          <t>5.8</t>
        </is>
      </c>
      <c r="B286" s="219" t="inlineStr">
        <is>
          <t>Tramo 8 Túnel Liner (entre Piques 8 y 9)</t>
        </is>
      </c>
      <c r="C286" s="57" t="n"/>
      <c r="D286" s="58" t="n"/>
      <c r="E286" s="197" t="n"/>
      <c r="F286" s="220">
        <f>+SUM(F287:F305)</f>
        <v/>
      </c>
      <c r="G286" s="63" t="n"/>
      <c r="H286" s="64" t="n"/>
    </row>
    <row r="287" ht="12.75" customHeight="1">
      <c r="A287" s="47" t="inlineStr">
        <is>
          <t>5.8.1</t>
        </is>
      </c>
      <c r="B287" s="214" t="inlineStr">
        <is>
          <t>Excavación del túnel</t>
        </is>
      </c>
      <c r="C287" s="48" t="inlineStr">
        <is>
          <t>m3</t>
        </is>
      </c>
      <c r="D287" s="221" t="n">
        <v>1185.7</v>
      </c>
      <c r="E287" s="222" t="n">
        <v>2.4675</v>
      </c>
      <c r="F287" s="205">
        <f>D287*E287</f>
        <v/>
      </c>
      <c r="G287" s="47" t="inlineStr">
        <is>
          <t>Etapa 2, Suma alzada</t>
        </is>
      </c>
      <c r="H287" s="167" t="inlineStr">
        <is>
          <t>Partidas a suma alzada: 
5% con el cumplimiento de Condiciones contractuales, 85% por avance proporcional y 10% con la recepción provisional de la obra
Partidas a precio unitario:
90% por avance proporcional y 10% con la recepción provisional de la obra</t>
        </is>
      </c>
    </row>
    <row r="288">
      <c r="A288" s="47" t="inlineStr">
        <is>
          <t>5.8.2</t>
        </is>
      </c>
      <c r="B288" s="214" t="inlineStr">
        <is>
          <t>Retiro excavación y transporte a botadero (geométrico)</t>
        </is>
      </c>
      <c r="C288" s="48" t="inlineStr">
        <is>
          <t>m3</t>
        </is>
      </c>
      <c r="D288" s="221" t="n">
        <v>1185.7</v>
      </c>
      <c r="E288" s="222" t="n">
        <v>0.987</v>
      </c>
      <c r="F288" s="205">
        <f>D288*E288</f>
        <v/>
      </c>
      <c r="G288" s="47" t="inlineStr">
        <is>
          <t>Etapa 2, Suma alzada</t>
        </is>
      </c>
      <c r="H288" s="207" t="n"/>
    </row>
    <row r="289">
      <c r="A289" s="47" t="inlineStr">
        <is>
          <t>5.8.3</t>
        </is>
      </c>
      <c r="B289" s="214" t="inlineStr">
        <is>
          <t>Montaje Liner (Incluyendo sello entre placas y mortero)</t>
        </is>
      </c>
      <c r="C289" s="48" t="inlineStr">
        <is>
          <t>m</t>
        </is>
      </c>
      <c r="D289" s="221" t="n">
        <v>309.1</v>
      </c>
      <c r="E289" s="222" t="n">
        <v>4.6753</v>
      </c>
      <c r="F289" s="205">
        <f>D289*E289</f>
        <v/>
      </c>
      <c r="G289" s="47" t="inlineStr">
        <is>
          <t>Etapa 2, Suma alzada</t>
        </is>
      </c>
      <c r="H289" s="207" t="n"/>
    </row>
    <row r="290">
      <c r="A290" s="47" t="inlineStr">
        <is>
          <t>5.8.4</t>
        </is>
      </c>
      <c r="B290" s="214" t="inlineStr">
        <is>
          <t>Pernos frente fibra de vidrio 4m (eventual)</t>
        </is>
      </c>
      <c r="C290" s="48" t="inlineStr">
        <is>
          <t>und</t>
        </is>
      </c>
      <c r="D290" s="204" t="n">
        <v>35.948</v>
      </c>
      <c r="E290" s="222" t="n">
        <v>1.4286</v>
      </c>
      <c r="F290" s="205">
        <f>D290*E290</f>
        <v/>
      </c>
      <c r="G290" s="47" t="inlineStr">
        <is>
          <t>Etapa 2, Precio unitario</t>
        </is>
      </c>
      <c r="H290" s="207" t="n"/>
    </row>
    <row r="291">
      <c r="A291" s="47" t="inlineStr">
        <is>
          <t>5.8.5</t>
        </is>
      </c>
      <c r="B291" s="214" t="inlineStr">
        <is>
          <t>Shotcrete Frente (eventual)</t>
        </is>
      </c>
      <c r="C291" s="48" t="inlineStr">
        <is>
          <t>m3</t>
        </is>
      </c>
      <c r="D291" s="204" t="n">
        <v>17.974</v>
      </c>
      <c r="E291" s="222" t="n">
        <v>5.4545</v>
      </c>
      <c r="F291" s="205">
        <f>D291*E291</f>
        <v/>
      </c>
      <c r="G291" s="47" t="inlineStr">
        <is>
          <t>Etapa 2, Precio unitario</t>
        </is>
      </c>
      <c r="H291" s="207" t="n"/>
    </row>
    <row r="292">
      <c r="A292" s="47" t="inlineStr">
        <is>
          <t>5.8.6</t>
        </is>
      </c>
      <c r="B292" s="214" t="inlineStr">
        <is>
          <t>Paraguas Micropilotes (eventual)</t>
        </is>
      </c>
      <c r="C292" s="48" t="inlineStr">
        <is>
          <t>und</t>
        </is>
      </c>
      <c r="D292" s="204" t="n">
        <v>24</v>
      </c>
      <c r="E292" s="222" t="n">
        <v>4.6753</v>
      </c>
      <c r="F292" s="205">
        <f>D292*E292</f>
        <v/>
      </c>
      <c r="G292" s="47" t="inlineStr">
        <is>
          <t>Etapa 2, Precio unitario</t>
        </is>
      </c>
      <c r="H292" s="207" t="n"/>
    </row>
    <row r="293">
      <c r="A293" s="47" t="inlineStr">
        <is>
          <t>5.8.7</t>
        </is>
      </c>
      <c r="B293" s="214" t="inlineStr">
        <is>
          <t>Radier</t>
        </is>
      </c>
      <c r="C293" s="48" t="inlineStr">
        <is>
          <t>m3</t>
        </is>
      </c>
      <c r="D293" s="221" t="n">
        <v>102.47</v>
      </c>
      <c r="E293" s="222" t="n">
        <v>7.2727</v>
      </c>
      <c r="F293" s="205">
        <f>D293*E293</f>
        <v/>
      </c>
      <c r="G293" s="47" t="inlineStr">
        <is>
          <t>Etapa 2, Suma alzada</t>
        </is>
      </c>
      <c r="H293" s="207" t="n"/>
    </row>
    <row r="294">
      <c r="A294" s="47" t="inlineStr">
        <is>
          <t>5.8.8</t>
        </is>
      </c>
      <c r="B294" s="214" t="inlineStr">
        <is>
          <t>Monitoreo de Pernos</t>
        </is>
      </c>
      <c r="C294" s="48" t="inlineStr">
        <is>
          <t>gl</t>
        </is>
      </c>
      <c r="D294" s="221" t="n">
        <v>1</v>
      </c>
      <c r="E294" s="222" t="n">
        <v>0.4675</v>
      </c>
      <c r="F294" s="205">
        <f>D294*E294</f>
        <v/>
      </c>
      <c r="G294" s="47" t="inlineStr">
        <is>
          <t>Etapa 2, Suma alzada</t>
        </is>
      </c>
      <c r="H294" s="207" t="n"/>
    </row>
    <row r="295">
      <c r="A295" s="47" t="inlineStr">
        <is>
          <t>5.8.9</t>
        </is>
      </c>
      <c r="B295" s="214" t="inlineStr">
        <is>
          <t>Suministro e instalación de Pernos de Convergencia</t>
        </is>
      </c>
      <c r="C295" s="48" t="inlineStr">
        <is>
          <t>und</t>
        </is>
      </c>
      <c r="D295" s="49" t="n"/>
      <c r="E295" s="197" t="n"/>
      <c r="F295" s="210">
        <f>+D295*E295</f>
        <v/>
      </c>
      <c r="G295" s="47" t="inlineStr">
        <is>
          <t>Etapa 2, Suma alzada</t>
        </is>
      </c>
      <c r="H295" s="207" t="n"/>
    </row>
    <row r="296">
      <c r="A296" s="47" t="inlineStr">
        <is>
          <t>5.8.10</t>
        </is>
      </c>
      <c r="B296" s="214" t="inlineStr">
        <is>
          <t>Suministro e instalación de Pernos de Asentamiento Superficial</t>
        </is>
      </c>
      <c r="C296" s="48" t="inlineStr">
        <is>
          <t>und</t>
        </is>
      </c>
      <c r="D296" s="49" t="n"/>
      <c r="E296" s="197" t="n"/>
      <c r="F296" s="210">
        <f>+D296*E296</f>
        <v/>
      </c>
      <c r="G296" s="47" t="inlineStr">
        <is>
          <t>Etapa 2, Suma alzada</t>
        </is>
      </c>
      <c r="H296" s="207" t="n"/>
    </row>
    <row r="297">
      <c r="A297" s="47" t="inlineStr">
        <is>
          <t>5.8.11</t>
        </is>
      </c>
      <c r="B297" s="214" t="inlineStr">
        <is>
          <t>Suministro e instalación de Pernos de Asentamiento Subsuperficial</t>
        </is>
      </c>
      <c r="C297" s="48" t="inlineStr">
        <is>
          <t>und</t>
        </is>
      </c>
      <c r="D297" s="49" t="n"/>
      <c r="E297" s="197" t="n"/>
      <c r="F297" s="210">
        <f>+D297*E297</f>
        <v/>
      </c>
      <c r="G297" s="47" t="inlineStr">
        <is>
          <t>Etapa 2, Suma alzada</t>
        </is>
      </c>
      <c r="H297" s="207" t="n"/>
    </row>
    <row r="298">
      <c r="A298" s="47" t="inlineStr">
        <is>
          <t>5.8.12</t>
        </is>
      </c>
      <c r="B298" s="214" t="inlineStr">
        <is>
          <t>Montaje de estructuras de soporte de cables AT</t>
        </is>
      </c>
      <c r="C298" s="48" t="inlineStr">
        <is>
          <t>kg</t>
        </is>
      </c>
      <c r="D298" s="221" t="n">
        <v>6182</v>
      </c>
      <c r="E298" s="222" t="n">
        <v>0.2208</v>
      </c>
      <c r="F298" s="205">
        <f>D298*E298</f>
        <v/>
      </c>
      <c r="G298" s="47" t="inlineStr">
        <is>
          <t>Etapa 2, Suma alzada</t>
        </is>
      </c>
      <c r="H298" s="208" t="n"/>
    </row>
    <row r="299">
      <c r="A299" s="143" t="n"/>
      <c r="B299" s="143" t="n"/>
      <c r="C299" s="142" t="n"/>
      <c r="D299" s="144" t="n"/>
      <c r="E299" s="226" t="n"/>
      <c r="F299" s="227" t="n"/>
      <c r="G299" s="143" t="n"/>
      <c r="H299" s="148" t="n"/>
      <c r="I299" s="147" t="n"/>
      <c r="J299" s="147" t="n"/>
      <c r="K299" s="147" t="n"/>
      <c r="L299" s="147" t="n"/>
      <c r="M299" s="147" t="n"/>
      <c r="N299" s="147" t="n"/>
    </row>
    <row r="300">
      <c r="A300" s="56" t="inlineStr">
        <is>
          <t>5.9</t>
        </is>
      </c>
      <c r="B300" s="219" t="inlineStr">
        <is>
          <t>Partidas eventuales de mitigación</t>
        </is>
      </c>
      <c r="C300" s="57" t="n"/>
      <c r="D300" s="58" t="n"/>
      <c r="E300" s="197" t="n"/>
      <c r="F300" s="220">
        <f>+SUM(F301:F320)</f>
        <v/>
      </c>
      <c r="G300" s="63" t="n"/>
      <c r="H300" s="64" t="n"/>
      <c r="I300" s="147" t="n"/>
      <c r="J300" s="147" t="n"/>
      <c r="K300" s="147" t="n"/>
      <c r="L300" s="147" t="n"/>
      <c r="M300" s="147" t="n"/>
      <c r="N300" s="147" t="n"/>
    </row>
    <row r="301" ht="15.75" customHeight="1">
      <c r="A301" s="47" t="inlineStr">
        <is>
          <t>5.9.1</t>
        </is>
      </c>
      <c r="B301" s="214" t="inlineStr">
        <is>
          <t>Pernos Marchavianti L=4m (eventual) - Plano STM-38077</t>
        </is>
      </c>
      <c r="C301" s="48" t="inlineStr">
        <is>
          <t>und</t>
        </is>
      </c>
      <c r="D301" s="204" t="n">
        <v>50</v>
      </c>
      <c r="E301" s="222" t="n">
        <v>2.4675</v>
      </c>
      <c r="F301" s="205">
        <f>D301*E301</f>
        <v/>
      </c>
      <c r="G301" s="47" t="inlineStr">
        <is>
          <t>Etapa 2, Precio unitario</t>
        </is>
      </c>
      <c r="H301" s="167" t="inlineStr">
        <is>
          <t>90% por avance proporcional y 10% con la recepción provisional de la obra</t>
        </is>
      </c>
      <c r="I301" s="147" t="n"/>
      <c r="J301" s="147" t="n"/>
      <c r="K301" s="147" t="n"/>
      <c r="L301" s="147" t="n"/>
      <c r="M301" s="147" t="n"/>
      <c r="N301" s="147" t="n"/>
    </row>
    <row r="302">
      <c r="A302" s="47" t="inlineStr">
        <is>
          <t>5.9.2</t>
        </is>
      </c>
      <c r="B302" s="214" t="inlineStr">
        <is>
          <t>Pernos Marchavianti L=2m (eventual) - Plano STM-38077</t>
        </is>
      </c>
      <c r="C302" s="48" t="inlineStr">
        <is>
          <t>und</t>
        </is>
      </c>
      <c r="D302" s="204" t="n">
        <v>140</v>
      </c>
      <c r="E302" s="222" t="n">
        <v>0.987</v>
      </c>
      <c r="F302" s="205">
        <f>D302*E302</f>
        <v/>
      </c>
      <c r="G302" s="47" t="inlineStr">
        <is>
          <t>Etapa 2, Precio unitario</t>
        </is>
      </c>
      <c r="H302" s="207" t="n"/>
      <c r="I302" s="147" t="n"/>
      <c r="J302" s="147" t="n"/>
      <c r="K302" s="147" t="n"/>
      <c r="L302" s="147" t="n"/>
      <c r="M302" s="147" t="n"/>
      <c r="N302" s="147" t="n"/>
    </row>
    <row r="303">
      <c r="A303" s="47" t="inlineStr">
        <is>
          <t>5.9.3</t>
        </is>
      </c>
      <c r="B303" s="214" t="inlineStr">
        <is>
          <t>Inyecciones de consolidación 12mm (eventual) - Plano STM-38077</t>
        </is>
      </c>
      <c r="C303" s="48" t="inlineStr">
        <is>
          <t>und</t>
        </is>
      </c>
      <c r="D303" s="204" t="n">
        <v>150</v>
      </c>
      <c r="E303" s="222" t="n">
        <v>4.6753</v>
      </c>
      <c r="F303" s="205">
        <f>D303*E303</f>
        <v/>
      </c>
      <c r="G303" s="47" t="inlineStr">
        <is>
          <t>Etapa 2, Precio unitario</t>
        </is>
      </c>
      <c r="H303" s="207" t="n"/>
      <c r="I303" s="147" t="n"/>
      <c r="J303" s="147" t="n"/>
      <c r="K303" s="147" t="n"/>
      <c r="L303" s="147" t="n"/>
      <c r="M303" s="147" t="n"/>
      <c r="N303" s="147" t="n"/>
    </row>
    <row r="304" ht="51" customHeight="1">
      <c r="A304" s="47" t="inlineStr">
        <is>
          <t>5.9.4</t>
        </is>
      </c>
      <c r="B304" s="228" t="inlineStr">
        <is>
          <t xml:space="preserve">Excavación con agotamiento (eventual) - Plano STM-38076
Nota:  deberá considerar una capacidad para agotar una infirltración de agua de hasta 30 litros / minuto.  
</t>
        </is>
      </c>
      <c r="C304" s="142" t="inlineStr">
        <is>
          <t>m3</t>
        </is>
      </c>
      <c r="D304" s="204" t="n">
        <v>2000</v>
      </c>
      <c r="E304" s="222" t="n">
        <v>1.4286</v>
      </c>
      <c r="F304" s="229">
        <f>D304*E304</f>
        <v/>
      </c>
      <c r="G304" s="47" t="inlineStr">
        <is>
          <t>Etapa 2, Precio unitario</t>
        </is>
      </c>
      <c r="H304" s="208" t="n"/>
      <c r="I304" s="147" t="n"/>
      <c r="J304" s="147" t="n"/>
      <c r="K304" s="147" t="n"/>
      <c r="L304" s="147" t="n"/>
      <c r="M304" s="147" t="n"/>
      <c r="N304" s="147" t="n"/>
    </row>
    <row r="305">
      <c r="A305" s="143" t="n"/>
      <c r="B305" s="143" t="n"/>
      <c r="C305" s="142" t="n"/>
      <c r="D305" s="144" t="n"/>
      <c r="E305" s="226" t="n"/>
      <c r="F305" s="227" t="n"/>
      <c r="G305" s="143" t="n"/>
      <c r="H305" s="148" t="n"/>
      <c r="I305" s="147" t="n"/>
      <c r="J305" s="147" t="n"/>
      <c r="K305" s="147" t="n"/>
      <c r="L305" s="147" t="n"/>
      <c r="M305" s="147" t="n"/>
      <c r="N305" s="147" t="n"/>
    </row>
    <row r="306">
      <c r="A306" s="199" t="inlineStr">
        <is>
          <t>6.0</t>
        </is>
      </c>
      <c r="B306" s="199" t="inlineStr">
        <is>
          <t>Construcción de Servicios Interior Túnel</t>
        </is>
      </c>
      <c r="C306" s="51" t="n"/>
      <c r="D306" s="78" t="n"/>
      <c r="E306" s="200" t="n"/>
      <c r="F306" s="201">
        <f>SUM(F307:F309)</f>
        <v/>
      </c>
      <c r="G306" s="79" t="n"/>
      <c r="H306" s="89" t="n"/>
    </row>
    <row r="307" ht="22.5" customHeight="1">
      <c r="A307" s="47" t="inlineStr">
        <is>
          <t>6.1</t>
        </is>
      </c>
      <c r="B307" s="214" t="inlineStr">
        <is>
          <t>Montaje de Jet Fan</t>
        </is>
      </c>
      <c r="C307" s="48" t="inlineStr">
        <is>
          <t>und</t>
        </is>
      </c>
      <c r="D307" s="49" t="n"/>
      <c r="E307" s="197" t="n"/>
      <c r="F307" s="210">
        <f>+D307*E307</f>
        <v/>
      </c>
      <c r="G307" s="88" t="inlineStr">
        <is>
          <t>Etapa 2, Suma alzada</t>
        </is>
      </c>
      <c r="H307" s="165" t="inlineStr">
        <is>
          <t>5% con el cumplimiento de Condiciones contractuales, 85% por avance proporcional y 10% con la recepción provisional de la obra</t>
        </is>
      </c>
    </row>
    <row r="308" ht="22.5" customHeight="1">
      <c r="A308" s="47" t="inlineStr">
        <is>
          <t>6.2</t>
        </is>
      </c>
      <c r="B308" s="214" t="inlineStr">
        <is>
          <t>Montaje de Sistema de Planta Elevadora de Agua</t>
        </is>
      </c>
      <c r="C308" s="48" t="inlineStr">
        <is>
          <t>gl</t>
        </is>
      </c>
      <c r="D308" s="204" t="n">
        <v>1</v>
      </c>
      <c r="E308" s="197" t="n"/>
      <c r="F308" s="205">
        <f>D308*E308</f>
        <v/>
      </c>
      <c r="G308" s="88" t="inlineStr">
        <is>
          <t>Etapa 2, Suma alzada</t>
        </is>
      </c>
      <c r="H308" s="230" t="n"/>
    </row>
    <row r="309">
      <c r="A309" s="47" t="n"/>
      <c r="B309" s="62" t="n"/>
      <c r="C309" s="62" t="n"/>
      <c r="D309" s="62" t="n"/>
      <c r="E309" s="209" t="n"/>
      <c r="F309" s="210" t="n"/>
      <c r="G309" s="47" t="n"/>
      <c r="H309" s="90" t="n"/>
    </row>
    <row r="310">
      <c r="A310" s="199" t="inlineStr">
        <is>
          <t>7.0</t>
        </is>
      </c>
      <c r="B310" s="199" t="inlineStr">
        <is>
          <t>Proyecto de Rotura y Reposición de Pavimentos</t>
        </is>
      </c>
      <c r="C310" s="51" t="n"/>
      <c r="D310" s="78" t="n"/>
      <c r="E310" s="200" t="n"/>
      <c r="F310" s="201">
        <f>SUM(F311:F322)</f>
        <v/>
      </c>
      <c r="G310" s="79" t="n"/>
      <c r="H310" s="80" t="n"/>
    </row>
    <row r="311" ht="12.75" customHeight="1">
      <c r="A311" s="47" t="inlineStr">
        <is>
          <t>7.1</t>
        </is>
      </c>
      <c r="B311" s="214" t="inlineStr">
        <is>
          <t xml:space="preserve">Base binder asfalto </t>
        </is>
      </c>
      <c r="C311" s="48" t="inlineStr">
        <is>
          <t>m2</t>
        </is>
      </c>
      <c r="D311" s="224" t="n">
        <v>317.61</v>
      </c>
      <c r="E311" s="222" t="n">
        <v>0.2208</v>
      </c>
      <c r="F311" s="205">
        <f>D311*E311</f>
        <v/>
      </c>
      <c r="G311" s="47" t="inlineStr">
        <is>
          <t>Etapa 2, Precio unitario</t>
        </is>
      </c>
      <c r="H311" s="168" t="inlineStr">
        <is>
          <t>90% por avance proporcional y 10% con la recepción provisional de la obra</t>
        </is>
      </c>
      <c r="N311" s="92" t="n"/>
    </row>
    <row r="312">
      <c r="A312" s="47" t="inlineStr">
        <is>
          <t>7.2</t>
        </is>
      </c>
      <c r="B312" s="214" t="inlineStr">
        <is>
          <t xml:space="preserve">Base chancada CBR 80% calzada asfáltica </t>
        </is>
      </c>
      <c r="C312" s="48" t="inlineStr">
        <is>
          <t>m3</t>
        </is>
      </c>
      <c r="D312" s="224" t="n">
        <v>66.6981</v>
      </c>
      <c r="E312" s="222" t="n">
        <v>0.4675</v>
      </c>
      <c r="F312" s="205">
        <f>D312*E312</f>
        <v/>
      </c>
      <c r="G312" s="47" t="inlineStr">
        <is>
          <t>Etapa 2, Precio unitario</t>
        </is>
      </c>
      <c r="H312" s="207" t="n"/>
      <c r="N312" s="92" t="n"/>
    </row>
    <row r="313">
      <c r="A313" s="47" t="inlineStr">
        <is>
          <t>7.3</t>
        </is>
      </c>
      <c r="B313" s="214" t="inlineStr">
        <is>
          <t xml:space="preserve">Calzada con tratamiento asfaltico </t>
        </is>
      </c>
      <c r="C313" s="48" t="inlineStr">
        <is>
          <t>m2</t>
        </is>
      </c>
      <c r="D313" s="224" t="n">
        <v>317.61</v>
      </c>
      <c r="E313" s="222" t="n">
        <v>0.9091</v>
      </c>
      <c r="F313" s="205">
        <f>D313*E313</f>
        <v/>
      </c>
      <c r="G313" s="47" t="inlineStr">
        <is>
          <t>Etapa 2, Precio unitario</t>
        </is>
      </c>
      <c r="H313" s="207" t="n"/>
      <c r="N313" s="92" t="n"/>
    </row>
    <row r="314">
      <c r="A314" s="47" t="inlineStr">
        <is>
          <t>7.4</t>
        </is>
      </c>
      <c r="B314" s="214" t="inlineStr">
        <is>
          <t xml:space="preserve">Demolición calzada y trasporte a botadero </t>
        </is>
      </c>
      <c r="C314" s="48" t="inlineStr">
        <is>
          <t>m3</t>
        </is>
      </c>
      <c r="D314" s="224" t="n">
        <v>82.57859999999999</v>
      </c>
      <c r="E314" s="222" t="n">
        <v>0.3117</v>
      </c>
      <c r="F314" s="205">
        <f>D314*E314</f>
        <v/>
      </c>
      <c r="G314" s="47" t="inlineStr">
        <is>
          <t>Etapa 2, Precio unitario</t>
        </is>
      </c>
      <c r="H314" s="207" t="n"/>
      <c r="N314" s="92" t="n"/>
    </row>
    <row r="315">
      <c r="A315" s="47" t="inlineStr">
        <is>
          <t>7.5</t>
        </is>
      </c>
      <c r="B315" s="214" t="inlineStr">
        <is>
          <t xml:space="preserve">Excavación dura y trasporte a botadero </t>
        </is>
      </c>
      <c r="C315" s="48" t="inlineStr">
        <is>
          <t>m3</t>
        </is>
      </c>
      <c r="D315" s="224" t="n">
        <v>343.0188</v>
      </c>
      <c r="E315" s="222" t="n">
        <v>0.7272999999999999</v>
      </c>
      <c r="F315" s="205">
        <f>D315*E315</f>
        <v/>
      </c>
      <c r="G315" s="47" t="inlineStr">
        <is>
          <t>Etapa 2, Precio unitario</t>
        </is>
      </c>
      <c r="H315" s="207" t="n"/>
      <c r="N315" s="92" t="n"/>
    </row>
    <row r="316">
      <c r="A316" s="47" t="inlineStr">
        <is>
          <t>7.6</t>
        </is>
      </c>
      <c r="B316" s="214" t="inlineStr">
        <is>
          <t xml:space="preserve">Imprimación base asfalto </t>
        </is>
      </c>
      <c r="C316" s="48" t="inlineStr">
        <is>
          <t>m2</t>
        </is>
      </c>
      <c r="D316" s="224" t="n">
        <v>317.61</v>
      </c>
      <c r="E316" s="222" t="n">
        <v>0.0649</v>
      </c>
      <c r="F316" s="205">
        <f>D316*E316</f>
        <v/>
      </c>
      <c r="G316" s="47" t="inlineStr">
        <is>
          <t>Etapa 2, Precio unitario</t>
        </is>
      </c>
      <c r="H316" s="207" t="n"/>
      <c r="N316" s="92" t="n"/>
    </row>
    <row r="317">
      <c r="A317" s="47" t="inlineStr">
        <is>
          <t>7.7</t>
        </is>
      </c>
      <c r="B317" s="214" t="inlineStr">
        <is>
          <t xml:space="preserve">Preparación subrasante </t>
        </is>
      </c>
      <c r="C317" s="48" t="inlineStr">
        <is>
          <t>m2</t>
        </is>
      </c>
      <c r="D317" s="224" t="n">
        <v>317.61</v>
      </c>
      <c r="E317" s="222" t="n">
        <v>0.1169</v>
      </c>
      <c r="F317" s="205">
        <f>D317*E317</f>
        <v/>
      </c>
      <c r="G317" s="47" t="inlineStr">
        <is>
          <t>Etapa 2, Precio unitario</t>
        </is>
      </c>
      <c r="H317" s="207" t="n"/>
      <c r="N317" s="92" t="n"/>
    </row>
    <row r="318">
      <c r="A318" s="47" t="inlineStr">
        <is>
          <t>7.8</t>
        </is>
      </c>
      <c r="B318" s="214" t="inlineStr">
        <is>
          <t xml:space="preserve">Riego de liga </t>
        </is>
      </c>
      <c r="C318" s="48" t="inlineStr">
        <is>
          <t>m2</t>
        </is>
      </c>
      <c r="D318" s="224" t="n">
        <v>317.61</v>
      </c>
      <c r="E318" s="222" t="n">
        <v>0.0312</v>
      </c>
      <c r="F318" s="205">
        <f>D318*E318</f>
        <v/>
      </c>
      <c r="G318" s="47" t="inlineStr">
        <is>
          <t>Etapa 2, Precio unitario</t>
        </is>
      </c>
      <c r="H318" s="207" t="n"/>
      <c r="N318" s="92" t="n"/>
    </row>
    <row r="319">
      <c r="A319" s="47" t="inlineStr">
        <is>
          <t>7.9</t>
        </is>
      </c>
      <c r="B319" s="214" t="inlineStr">
        <is>
          <t xml:space="preserve">Subbase estabilizada </t>
        </is>
      </c>
      <c r="C319" s="48" t="inlineStr">
        <is>
          <t>m3</t>
        </is>
      </c>
      <c r="D319" s="224" t="n">
        <v>276.3207</v>
      </c>
      <c r="E319" s="222" t="n">
        <v>0.5714</v>
      </c>
      <c r="F319" s="205">
        <f>D319*E319</f>
        <v/>
      </c>
      <c r="G319" s="47" t="inlineStr">
        <is>
          <t>Etapa 2, Precio unitario</t>
        </is>
      </c>
      <c r="H319" s="207" t="n"/>
      <c r="N319" s="92" t="n"/>
    </row>
    <row r="320">
      <c r="A320" s="47" t="inlineStr">
        <is>
          <t>7.10</t>
        </is>
      </c>
      <c r="B320" s="214" t="inlineStr">
        <is>
          <t>Entibación de excavaciones</t>
        </is>
      </c>
      <c r="C320" s="48" t="inlineStr">
        <is>
          <t>m</t>
        </is>
      </c>
      <c r="D320" s="224" t="n">
        <v>90.7457</v>
      </c>
      <c r="E320" s="222" t="n">
        <v>2.2078</v>
      </c>
      <c r="F320" s="205">
        <f>D320*E320</f>
        <v/>
      </c>
      <c r="G320" s="47" t="inlineStr">
        <is>
          <t>Etapa 2, Precio unitario</t>
        </is>
      </c>
      <c r="H320" s="207" t="n"/>
      <c r="N320" s="92" t="n"/>
    </row>
    <row r="321">
      <c r="A321" s="47" t="inlineStr">
        <is>
          <t>7.11</t>
        </is>
      </c>
      <c r="B321" s="214" t="inlineStr">
        <is>
          <t>Reposición de Áreas Verdes</t>
        </is>
      </c>
      <c r="C321" s="48" t="inlineStr">
        <is>
          <t>m2</t>
        </is>
      </c>
      <c r="D321" s="224" t="n">
        <v>60</v>
      </c>
      <c r="E321" s="222" t="n">
        <v>0.3117</v>
      </c>
      <c r="F321" s="205">
        <f>D321*E321</f>
        <v/>
      </c>
      <c r="G321" s="47" t="inlineStr">
        <is>
          <t>Etapa 2, Precio unitario</t>
        </is>
      </c>
      <c r="H321" s="207" t="n"/>
      <c r="N321" s="92" t="n"/>
    </row>
    <row r="322">
      <c r="A322" s="47" t="inlineStr">
        <is>
          <t>7.12</t>
        </is>
      </c>
      <c r="B322" s="214" t="inlineStr">
        <is>
          <t>Reposición de Soleras</t>
        </is>
      </c>
      <c r="C322" s="48" t="inlineStr">
        <is>
          <t>m</t>
        </is>
      </c>
      <c r="D322" s="224" t="n">
        <v>40</v>
      </c>
      <c r="E322" s="222" t="n">
        <v>0.9091</v>
      </c>
      <c r="F322" s="205">
        <f>D322*E322</f>
        <v/>
      </c>
      <c r="G322" s="47" t="inlineStr">
        <is>
          <t>Etapa 2, Precio unitario</t>
        </is>
      </c>
      <c r="H322" s="207" t="n"/>
    </row>
    <row r="323">
      <c r="A323" s="47" t="inlineStr">
        <is>
          <t>7.13</t>
        </is>
      </c>
      <c r="B323" s="214" t="inlineStr">
        <is>
          <t>Demolición y reposición de veredas</t>
        </is>
      </c>
      <c r="C323" s="48" t="inlineStr">
        <is>
          <t>m2</t>
        </is>
      </c>
      <c r="D323" s="224" t="n">
        <v>20</v>
      </c>
      <c r="E323" s="222" t="n">
        <v>0.5714</v>
      </c>
      <c r="F323" s="205">
        <f>D323*E323</f>
        <v/>
      </c>
      <c r="G323" s="47" t="inlineStr">
        <is>
          <t>Etapa 2, Precio unitario</t>
        </is>
      </c>
      <c r="H323" s="208" t="n"/>
    </row>
    <row r="324">
      <c r="A324" s="47" t="n"/>
      <c r="B324" s="47" t="n"/>
      <c r="C324" s="48" t="n"/>
      <c r="D324" s="49" t="n"/>
      <c r="E324" s="209" t="n"/>
      <c r="F324" s="210" t="n"/>
      <c r="G324" s="47" t="n"/>
      <c r="H324" s="168" t="n"/>
    </row>
    <row r="325" customFormat="1" s="65">
      <c r="A325" s="199" t="inlineStr">
        <is>
          <t>8.0</t>
        </is>
      </c>
      <c r="B325" s="199" t="inlineStr">
        <is>
          <t>Señalización Vial</t>
        </is>
      </c>
      <c r="C325" s="51" t="n"/>
      <c r="D325" s="78" t="n"/>
      <c r="E325" s="200" t="n"/>
      <c r="F325" s="201">
        <f>+SUM(F326:F327)</f>
        <v/>
      </c>
      <c r="G325" s="79" t="n"/>
      <c r="H325" s="80" t="n"/>
    </row>
    <row r="326" ht="44.25" customFormat="1" customHeight="1" s="65">
      <c r="A326" s="47" t="inlineStr">
        <is>
          <t>8.1</t>
        </is>
      </c>
      <c r="B326" s="214" t="inlineStr">
        <is>
          <t>Señaléticas y habilitación de Balizas de acuerdo con el Plan de Desvíos Piques 01 a 08, y de acuerdo con los requerimientos del CAV 01</t>
        </is>
      </c>
      <c r="C326" s="48" t="inlineStr">
        <is>
          <t>gl</t>
        </is>
      </c>
      <c r="D326" s="231" t="n">
        <v>1</v>
      </c>
      <c r="E326" s="197" t="n"/>
      <c r="F326" s="205">
        <f>D326*E326</f>
        <v/>
      </c>
      <c r="G326" s="62" t="inlineStr">
        <is>
          <t>Etapa 2, Suma alzada</t>
        </is>
      </c>
      <c r="H326" s="75" t="inlineStr">
        <is>
          <t>5% con el cumplimiento de Condiciones contractuales, 85% por avance proporcional y 10% con la recepción provisional de la obra</t>
        </is>
      </c>
    </row>
    <row r="327" customFormat="1" s="65">
      <c r="A327" s="47" t="n"/>
      <c r="B327" s="44" t="n"/>
      <c r="C327" s="48" t="n"/>
      <c r="D327" s="49" t="n"/>
      <c r="E327" s="218" t="n"/>
      <c r="F327" s="210" t="n"/>
      <c r="G327" s="62" t="n"/>
      <c r="H327" s="75" t="n"/>
    </row>
    <row r="328">
      <c r="A328" s="199" t="inlineStr">
        <is>
          <t>10.0</t>
        </is>
      </c>
      <c r="B328" s="199" t="inlineStr">
        <is>
          <t>Gestión de Permisos</t>
        </is>
      </c>
      <c r="C328" s="51" t="n"/>
      <c r="D328" s="78" t="n"/>
      <c r="E328" s="200" t="n"/>
      <c r="F328" s="201">
        <f>+SUM(F329:F346)</f>
        <v/>
      </c>
      <c r="G328" s="66" t="n"/>
      <c r="H328" s="67" t="n"/>
    </row>
    <row r="329" customFormat="1" s="65">
      <c r="A329" s="47" t="inlineStr">
        <is>
          <t>10.2</t>
        </is>
      </c>
      <c r="B329" s="214" t="inlineStr">
        <is>
          <t>Gestión de Autorización de Uso de la Faja Fiscal ante el MOP</t>
        </is>
      </c>
      <c r="C329" s="21" t="inlineStr">
        <is>
          <t>gl</t>
        </is>
      </c>
      <c r="D329" s="231" t="n">
        <v>1</v>
      </c>
      <c r="E329" s="217" t="n"/>
      <c r="F329" s="205">
        <f>D329*E329</f>
        <v/>
      </c>
      <c r="G329" s="62" t="inlineStr">
        <is>
          <t>Etapa 1, Suma alzada</t>
        </is>
      </c>
      <c r="H329" s="164" t="n"/>
    </row>
    <row r="330" customFormat="1" s="65">
      <c r="A330" s="47" t="inlineStr">
        <is>
          <t>10.3</t>
        </is>
      </c>
      <c r="B330" s="214" t="inlineStr">
        <is>
          <t>Gestión de Autorización de Uso de la Faja Fiscal ante el SERVIU</t>
        </is>
      </c>
      <c r="C330" s="21" t="inlineStr">
        <is>
          <t>gl</t>
        </is>
      </c>
      <c r="D330" s="231" t="n">
        <v>1</v>
      </c>
      <c r="E330" s="217" t="n"/>
      <c r="F330" s="205">
        <f>D330*E330</f>
        <v/>
      </c>
      <c r="G330" s="62" t="inlineStr">
        <is>
          <t>Etapa 1, Suma alzada</t>
        </is>
      </c>
      <c r="H330" s="207" t="n"/>
    </row>
    <row r="331" customFormat="1" s="65">
      <c r="A331" s="47" t="inlineStr">
        <is>
          <t>10.4</t>
        </is>
      </c>
      <c r="B331" s="214" t="inlineStr">
        <is>
          <t>Entrega de Planos As Built proyecto Atravieso para la DOH</t>
        </is>
      </c>
      <c r="C331" s="21" t="inlineStr">
        <is>
          <t>gl</t>
        </is>
      </c>
      <c r="D331" s="231" t="n">
        <v>1</v>
      </c>
      <c r="E331" s="217" t="n"/>
      <c r="F331" s="205">
        <f>D331*E331</f>
        <v/>
      </c>
      <c r="G331" s="62" t="inlineStr">
        <is>
          <t>Etapa 2, Suma alzada</t>
        </is>
      </c>
      <c r="H331" s="207" t="n"/>
    </row>
    <row r="332" customFormat="1" s="65">
      <c r="A332" s="47" t="inlineStr">
        <is>
          <t>10.5</t>
        </is>
      </c>
      <c r="B332" s="214" t="inlineStr">
        <is>
          <t>Gestión necesaria para la Construcción ante Canalistas</t>
        </is>
      </c>
      <c r="C332" s="21" t="inlineStr">
        <is>
          <t>gl</t>
        </is>
      </c>
      <c r="D332" s="231" t="n">
        <v>1</v>
      </c>
      <c r="E332" s="217" t="n"/>
      <c r="F332" s="205">
        <f>D332*E332</f>
        <v/>
      </c>
      <c r="G332" s="62" t="inlineStr">
        <is>
          <t>Etapa 1, Suma alzada</t>
        </is>
      </c>
      <c r="H332" s="207" t="n"/>
    </row>
    <row r="333" customFormat="1" s="65">
      <c r="A333" s="47" t="inlineStr">
        <is>
          <t>10.6</t>
        </is>
      </c>
      <c r="B333" s="214" t="inlineStr">
        <is>
          <t>Gestión de Permisos para Uso de BNUP ante Municipalidad de Providencia</t>
        </is>
      </c>
      <c r="C333" s="21" t="inlineStr">
        <is>
          <t>gl</t>
        </is>
      </c>
      <c r="D333" s="231" t="n">
        <v>1</v>
      </c>
      <c r="E333" s="217" t="n"/>
      <c r="F333" s="205">
        <f>D333*E333</f>
        <v/>
      </c>
      <c r="G333" s="62" t="inlineStr">
        <is>
          <t>Etapa 1 y 2, Suma alzada</t>
        </is>
      </c>
      <c r="H333" s="207" t="n"/>
    </row>
    <row r="334" customFormat="1" s="65">
      <c r="A334" s="47" t="inlineStr">
        <is>
          <t>10.7</t>
        </is>
      </c>
      <c r="B334" s="214" t="inlineStr">
        <is>
          <t>Gestión de Permisos para Uso de BNUP ante Municipalidad de Las Condes</t>
        </is>
      </c>
      <c r="C334" s="21" t="inlineStr">
        <is>
          <t>gl</t>
        </is>
      </c>
      <c r="D334" s="231" t="n">
        <v>1</v>
      </c>
      <c r="E334" s="217" t="n"/>
      <c r="F334" s="205">
        <f>D334*E334</f>
        <v/>
      </c>
      <c r="G334" s="62" t="inlineStr">
        <is>
          <t>Etapa 1 y 2, Suma alzada</t>
        </is>
      </c>
      <c r="H334" s="207" t="n"/>
    </row>
    <row r="335" ht="25.5" customFormat="1" customHeight="1" s="65">
      <c r="A335" s="47" t="inlineStr">
        <is>
          <t>10.8</t>
        </is>
      </c>
      <c r="B335" s="214" t="inlineStr">
        <is>
          <t>Pago de Derechos e Inspección para Autorización y Uso de la Faja Fiscal ante MOP, y para gestión de modificaciones de terreno del proyecto</t>
        </is>
      </c>
      <c r="C335" s="21" t="inlineStr">
        <is>
          <t>gl</t>
        </is>
      </c>
      <c r="D335" s="231" t="n">
        <v>1</v>
      </c>
      <c r="E335" s="217" t="n"/>
      <c r="F335" s="205">
        <f>D335*E335</f>
        <v/>
      </c>
      <c r="G335" s="62" t="inlineStr">
        <is>
          <t>Etapa 1 y 2, Suma alzada</t>
        </is>
      </c>
      <c r="H335" s="207" t="n"/>
    </row>
    <row r="336" ht="25.5" customFormat="1" customHeight="1" s="65">
      <c r="A336" s="47" t="inlineStr">
        <is>
          <t>10.9</t>
        </is>
      </c>
      <c r="B336" s="214" t="inlineStr">
        <is>
          <t>Pago de Derechos e Inspección para Autorización y Uso de la Faja Fiscal ante SERVIU, y para gestión de modificaciones de terreno del proyecto</t>
        </is>
      </c>
      <c r="C336" s="21" t="inlineStr">
        <is>
          <t>gl</t>
        </is>
      </c>
      <c r="D336" s="231" t="n">
        <v>1</v>
      </c>
      <c r="E336" s="217" t="n"/>
      <c r="F336" s="205">
        <f>D336*E336</f>
        <v/>
      </c>
      <c r="G336" s="62" t="inlineStr">
        <is>
          <t>Etapa 1 y 2, Suma alzada</t>
        </is>
      </c>
      <c r="H336" s="207" t="n"/>
    </row>
    <row r="337" ht="25.5" customFormat="1" customHeight="1" s="65">
      <c r="A337" s="47" t="inlineStr">
        <is>
          <t>10.10</t>
        </is>
      </c>
      <c r="B337" s="214" t="inlineStr">
        <is>
          <t>Pago de Derechos e Inspección para Autorización y Uso del área de atravieso ante Canalistas</t>
        </is>
      </c>
      <c r="C337" s="21" t="inlineStr">
        <is>
          <t>gl</t>
        </is>
      </c>
      <c r="D337" s="231" t="n">
        <v>1</v>
      </c>
      <c r="E337" s="217" t="n"/>
      <c r="F337" s="205">
        <f>D337*E337</f>
        <v/>
      </c>
      <c r="G337" s="62" t="inlineStr">
        <is>
          <t>Etapa 1 y 2, Suma alzada</t>
        </is>
      </c>
      <c r="H337" s="207" t="n"/>
    </row>
    <row r="338" customFormat="1" s="65">
      <c r="A338" s="47" t="inlineStr">
        <is>
          <t>10.11</t>
        </is>
      </c>
      <c r="B338" s="214" t="inlineStr">
        <is>
          <t>Boleta de Garantía ante MOP</t>
        </is>
      </c>
      <c r="C338" s="21" t="inlineStr">
        <is>
          <t>gl</t>
        </is>
      </c>
      <c r="D338" s="231" t="n">
        <v>1</v>
      </c>
      <c r="E338" s="217" t="n"/>
      <c r="F338" s="205">
        <f>D338*E338</f>
        <v/>
      </c>
      <c r="G338" s="62" t="inlineStr">
        <is>
          <t>Etapa 1, Suma alzada</t>
        </is>
      </c>
      <c r="H338" s="207" t="n"/>
    </row>
    <row r="339" customFormat="1" s="65">
      <c r="A339" s="47" t="inlineStr">
        <is>
          <t>10.12</t>
        </is>
      </c>
      <c r="B339" s="214" t="inlineStr">
        <is>
          <t>Boleta de Garantía ante SERVIU</t>
        </is>
      </c>
      <c r="C339" s="21" t="inlineStr">
        <is>
          <t>gl</t>
        </is>
      </c>
      <c r="D339" s="231" t="n">
        <v>1</v>
      </c>
      <c r="E339" s="217" t="n"/>
      <c r="F339" s="205">
        <f>D339*E339</f>
        <v/>
      </c>
      <c r="G339" s="62" t="inlineStr">
        <is>
          <t>Etapa 1, Suma alzada</t>
        </is>
      </c>
      <c r="H339" s="207" t="n"/>
    </row>
    <row r="340" customFormat="1" s="65">
      <c r="A340" s="47" t="inlineStr">
        <is>
          <t>10.13</t>
        </is>
      </c>
      <c r="B340" s="214" t="inlineStr">
        <is>
          <t>Boleta de Garantía ante Canalistas</t>
        </is>
      </c>
      <c r="C340" s="21" t="inlineStr">
        <is>
          <t>gl</t>
        </is>
      </c>
      <c r="D340" s="20" t="n">
        <v>0</v>
      </c>
      <c r="E340" s="217" t="n"/>
      <c r="F340" s="210">
        <f>+D340*E340</f>
        <v/>
      </c>
      <c r="G340" s="62" t="inlineStr">
        <is>
          <t>Serán aporte de STM</t>
        </is>
      </c>
      <c r="H340" s="207" t="n"/>
    </row>
    <row r="341" customFormat="1" s="65">
      <c r="A341" s="47" t="inlineStr">
        <is>
          <t>10.14</t>
        </is>
      </c>
      <c r="B341" s="214" t="inlineStr">
        <is>
          <t>Boleta de Garantía ante Municipalidad de Providencia</t>
        </is>
      </c>
      <c r="C341" s="21" t="inlineStr">
        <is>
          <t>gl</t>
        </is>
      </c>
      <c r="D341" s="20" t="n">
        <v>0</v>
      </c>
      <c r="E341" s="217" t="n"/>
      <c r="F341" s="210">
        <f>+D341*E341</f>
        <v/>
      </c>
      <c r="G341" s="62" t="inlineStr">
        <is>
          <t>Serán aporte de STM</t>
        </is>
      </c>
      <c r="H341" s="207" t="n"/>
    </row>
    <row r="342" customFormat="1" s="65">
      <c r="A342" s="47" t="inlineStr">
        <is>
          <t>10.15</t>
        </is>
      </c>
      <c r="B342" s="214" t="inlineStr">
        <is>
          <t>Boleta de Garantía ante Municipalidad de Las Condes</t>
        </is>
      </c>
      <c r="C342" s="21" t="inlineStr">
        <is>
          <t>gl</t>
        </is>
      </c>
      <c r="D342" s="20" t="n">
        <v>0</v>
      </c>
      <c r="E342" s="217" t="n"/>
      <c r="F342" s="210">
        <f>+D342*E342</f>
        <v/>
      </c>
      <c r="G342" s="62" t="inlineStr">
        <is>
          <t>Serán aporte de STM</t>
        </is>
      </c>
      <c r="H342" s="207" t="n"/>
    </row>
    <row r="343" customFormat="1" s="65">
      <c r="A343" s="47" t="inlineStr">
        <is>
          <t>10.16</t>
        </is>
      </c>
      <c r="B343" s="214" t="inlineStr">
        <is>
          <t>Declaración TE1 de Instalación de Faenas del Proyecto</t>
        </is>
      </c>
      <c r="C343" s="21" t="inlineStr">
        <is>
          <t>gl</t>
        </is>
      </c>
      <c r="D343" s="231" t="n">
        <v>1</v>
      </c>
      <c r="E343" s="217" t="n"/>
      <c r="F343" s="205">
        <f>D343*E343</f>
        <v/>
      </c>
      <c r="G343" s="62" t="inlineStr">
        <is>
          <t>Etapa 2, Suma alzada</t>
        </is>
      </c>
      <c r="H343" s="207" t="n"/>
    </row>
    <row r="344" customFormat="1" s="65">
      <c r="A344" s="47" t="inlineStr">
        <is>
          <t>10.17</t>
        </is>
      </c>
      <c r="B344" s="214" t="inlineStr">
        <is>
          <t>Gestión de Permiso de Bodega Resnopel (piques 01 al 09)</t>
        </is>
      </c>
      <c r="C344" s="21" t="inlineStr">
        <is>
          <t>gl</t>
        </is>
      </c>
      <c r="D344" s="231" t="n">
        <v>1</v>
      </c>
      <c r="E344" s="217" t="n"/>
      <c r="F344" s="205">
        <f>D344*E344</f>
        <v/>
      </c>
      <c r="G344" s="62" t="inlineStr">
        <is>
          <t>Etapa 2, Suma alzada</t>
        </is>
      </c>
      <c r="H344" s="207" t="n"/>
    </row>
    <row r="345" customFormat="1" s="65">
      <c r="A345" s="47" t="inlineStr">
        <is>
          <t>10.18</t>
        </is>
      </c>
      <c r="B345" s="214" t="inlineStr">
        <is>
          <t>Gestión de Permiso de Bodega Respel (piques 01 al 09)</t>
        </is>
      </c>
      <c r="C345" s="21" t="inlineStr">
        <is>
          <t>gl</t>
        </is>
      </c>
      <c r="D345" s="231" t="n">
        <v>1</v>
      </c>
      <c r="E345" s="217" t="n"/>
      <c r="F345" s="205">
        <f>D345*E345</f>
        <v/>
      </c>
      <c r="G345" s="62" t="inlineStr">
        <is>
          <t>Etapa 2, Suma alzada</t>
        </is>
      </c>
      <c r="H345" s="208" t="n"/>
    </row>
    <row r="346" customFormat="1" s="65">
      <c r="A346" s="47" t="n"/>
      <c r="B346" s="44" t="n"/>
      <c r="C346" s="21" t="n"/>
      <c r="D346" s="20" t="n"/>
      <c r="E346" s="218" t="n"/>
      <c r="F346" s="210" t="n"/>
      <c r="G346" s="62" t="n"/>
      <c r="H346" s="168" t="n"/>
    </row>
    <row r="347" customFormat="1" s="65">
      <c r="A347" s="199" t="inlineStr">
        <is>
          <t>11.0</t>
        </is>
      </c>
      <c r="B347" s="199" t="inlineStr">
        <is>
          <t>Monitoreo calidad de aguas canales de Riego CAV 08</t>
        </is>
      </c>
      <c r="C347" s="51" t="n"/>
      <c r="D347" s="78" t="n"/>
      <c r="E347" s="200" t="n"/>
      <c r="F347" s="201">
        <f>+SUM(F348:F349)</f>
        <v/>
      </c>
      <c r="G347" s="66" t="n"/>
      <c r="H347" s="67" t="n"/>
    </row>
    <row r="348" ht="43.5" customFormat="1" customHeight="1" s="65">
      <c r="A348" s="47" t="inlineStr">
        <is>
          <t>11.1</t>
        </is>
      </c>
      <c r="B348" s="214" t="inlineStr">
        <is>
          <t>Monitoreo calidad de aguas canales de Riego (CAV 08)</t>
        </is>
      </c>
      <c r="C348" s="21" t="inlineStr">
        <is>
          <t>gl</t>
        </is>
      </c>
      <c r="D348" s="231" t="n">
        <v>1</v>
      </c>
      <c r="E348" s="217" t="n"/>
      <c r="F348" s="205">
        <f>D348*E348</f>
        <v/>
      </c>
      <c r="G348" s="62" t="inlineStr">
        <is>
          <t>Etapa 2, Suma alzada</t>
        </is>
      </c>
      <c r="H348" s="168" t="inlineStr">
        <is>
          <t>5% con el cumplimiento de Condiciones contractuales, 85% por avance proporcional y 10% con la recepción provisional de la obra</t>
        </is>
      </c>
    </row>
    <row r="349" ht="15" customFormat="1" customHeight="1" s="65">
      <c r="A349" s="47" t="n"/>
      <c r="B349" s="44" t="n"/>
      <c r="C349" s="21" t="n"/>
      <c r="D349" s="20" t="n"/>
      <c r="E349" s="218" t="n"/>
      <c r="F349" s="210" t="n"/>
      <c r="G349" s="62" t="n"/>
      <c r="H349" s="168" t="n"/>
    </row>
    <row r="350" ht="38.25" customFormat="1" customHeight="1" s="65">
      <c r="A350" s="199" t="inlineStr">
        <is>
          <t>12.0</t>
        </is>
      </c>
      <c r="B350" s="199" t="inlineStr">
        <is>
          <t>Normalización de veredas para dispositivos de Rodado, de acuerdo con Proyecto de Normalización Aporte de STM y requerimientos del Compromiso Ambiental Voluntario CAV 04</t>
        </is>
      </c>
      <c r="C350" s="51" t="n"/>
      <c r="D350" s="78" t="n"/>
      <c r="E350" s="200" t="n"/>
      <c r="F350" s="201">
        <f>+SUM(F351:F352)</f>
        <v/>
      </c>
      <c r="G350" s="66" t="n"/>
      <c r="H350" s="67" t="n"/>
    </row>
    <row r="351" ht="38.25" customFormat="1" customHeight="1" s="65">
      <c r="A351" s="47" t="inlineStr">
        <is>
          <t>12.1</t>
        </is>
      </c>
      <c r="B351" s="223" t="inlineStr">
        <is>
          <t>Normalización dispositivos de Rodado en Intersección:
Av. Andrés Bello/Av. Costanera Sur</t>
        </is>
      </c>
      <c r="C351" s="21" t="inlineStr">
        <is>
          <t>gl</t>
        </is>
      </c>
      <c r="D351" s="231" t="n">
        <v>1</v>
      </c>
      <c r="E351" s="217" t="n"/>
      <c r="F351" s="205">
        <f>D351*E351</f>
        <v/>
      </c>
      <c r="G351" s="62" t="inlineStr">
        <is>
          <t>Etapa 2, Partida Opcional,  (se evaluará en mayo 2026 si esta partida será requerida)</t>
        </is>
      </c>
      <c r="H351" s="162" t="inlineStr">
        <is>
          <t>5% con el cumplimiento de Condiciones contractuales, 85% por avance proporcional y 10% con la recepción provisional de la obra</t>
        </is>
      </c>
    </row>
    <row r="352" customFormat="1" s="65">
      <c r="A352" s="44" t="n"/>
      <c r="B352" s="44" t="n"/>
      <c r="C352" s="21" t="n"/>
      <c r="D352" s="20" t="n"/>
      <c r="E352" s="218" t="n"/>
      <c r="F352" s="232" t="n"/>
      <c r="G352" s="22" t="n"/>
      <c r="H352" s="59" t="n"/>
    </row>
    <row r="353" customFormat="1" s="65">
      <c r="A353" s="199" t="inlineStr">
        <is>
          <t>13.0</t>
        </is>
      </c>
      <c r="B353" s="199" t="inlineStr">
        <is>
          <t>Eventual disposición de Aguas de Afloración Subterránea</t>
        </is>
      </c>
      <c r="C353" s="51" t="n"/>
      <c r="D353" s="78" t="n"/>
      <c r="E353" s="200" t="n"/>
      <c r="F353" s="201">
        <f>+SUM(F354:F358)</f>
        <v/>
      </c>
      <c r="G353" s="66" t="n"/>
      <c r="H353" s="67" t="n"/>
    </row>
    <row r="354" ht="25.5" customFormat="1" customHeight="1" s="65">
      <c r="A354" s="47" t="inlineStr">
        <is>
          <t>13.1</t>
        </is>
      </c>
      <c r="B354" s="223" t="inlineStr">
        <is>
          <t>Instalación de sistema de bombeo y almacenamiento Temporal de aguas efluentes en la instalación de faenas de un pique</t>
        </is>
      </c>
      <c r="C354" s="142" t="inlineStr">
        <is>
          <t>und</t>
        </is>
      </c>
      <c r="D354" s="231" t="n">
        <v>2</v>
      </c>
      <c r="E354" s="217" t="n"/>
      <c r="F354" s="205">
        <f>D354*E354</f>
        <v/>
      </c>
      <c r="G354" s="143" t="inlineStr">
        <is>
          <t>Etapa 2, Precio unitario, partida de requerimiento eventual</t>
        </is>
      </c>
      <c r="H354" s="233" t="inlineStr">
        <is>
          <t>90% por avance proporcional y 10% con la recepción provisional de la obra</t>
        </is>
      </c>
    </row>
    <row r="355" ht="25.5" customFormat="1" customHeight="1" s="65">
      <c r="A355" s="47" t="inlineStr">
        <is>
          <t>13.2</t>
        </is>
      </c>
      <c r="B355" s="223" t="inlineStr">
        <is>
          <t>Retiro y Transporte de Aguas Efluentes</t>
        </is>
      </c>
      <c r="C355" s="21" t="inlineStr">
        <is>
          <t>m3</t>
        </is>
      </c>
      <c r="D355" s="231" t="n">
        <v>1000</v>
      </c>
      <c r="E355" s="217" t="n"/>
      <c r="F355" s="205">
        <f>D355*E355</f>
        <v/>
      </c>
      <c r="G355" s="143" t="inlineStr">
        <is>
          <t>Etapa 2, Precio unitario, partida de requerimiento eventual</t>
        </is>
      </c>
      <c r="H355" s="207" t="n"/>
    </row>
    <row r="356" ht="38.25" customFormat="1" customHeight="1" s="65">
      <c r="A356" s="47" t="inlineStr">
        <is>
          <t>13.3</t>
        </is>
      </c>
      <c r="B356" s="223" t="inlineStr">
        <is>
          <t>Disposición de aguas efluentes en empresas que, según la regulación sanitaria y ambiental vigente, están autorizadas para tratamiento y disposición de aguas residuales de infiltraciones</t>
        </is>
      </c>
      <c r="C356" s="21" t="inlineStr">
        <is>
          <t>m3</t>
        </is>
      </c>
      <c r="D356" s="231" t="n">
        <v>1000</v>
      </c>
      <c r="E356" s="217" t="n"/>
      <c r="F356" s="205">
        <f>D356*E356</f>
        <v/>
      </c>
      <c r="G356" s="143" t="inlineStr">
        <is>
          <t>Etapa 2, Precio unitario, partida de requerimiento eventual</t>
        </is>
      </c>
      <c r="H356" s="207" t="n"/>
    </row>
    <row r="357" ht="25.5" customFormat="1" customHeight="1" s="65">
      <c r="A357" s="47" t="inlineStr">
        <is>
          <t>13.4</t>
        </is>
      </c>
      <c r="B357" s="223" t="inlineStr">
        <is>
          <t>Ejecutar las pruebas Solicitadas por el Plan de Contingencias y Emergencias PCYE  ante un afloramiento de aguas.  a) Pruebas de calidad del agua,  b)- Pruebas hidráulicas</t>
        </is>
      </c>
      <c r="C357" s="142" t="inlineStr">
        <is>
          <t>und</t>
        </is>
      </c>
      <c r="D357" s="231" t="n">
        <v>2</v>
      </c>
      <c r="E357" s="217" t="n"/>
      <c r="F357" s="205">
        <f>D357*E357</f>
        <v/>
      </c>
      <c r="G357" s="143" t="inlineStr">
        <is>
          <t>Etapa 2, Precio unitario, partida de requerimiento eventual</t>
        </is>
      </c>
      <c r="H357" s="208" t="n"/>
    </row>
    <row r="358" customFormat="1" s="65">
      <c r="A358" s="47" t="n"/>
      <c r="B358" s="73" t="n"/>
      <c r="C358" s="142" t="n"/>
      <c r="D358" s="20" t="n"/>
      <c r="E358" s="218" t="n"/>
      <c r="F358" s="210" t="n"/>
      <c r="G358" s="143" t="n"/>
      <c r="H358" s="59" t="n"/>
    </row>
    <row r="359" customFormat="1" s="65">
      <c r="A359" s="47" t="n"/>
      <c r="B359" s="73" t="n"/>
      <c r="C359" s="21" t="n"/>
      <c r="D359" s="20" t="n"/>
      <c r="E359" s="218" t="n"/>
      <c r="F359" s="210" t="n"/>
      <c r="G359" s="62" t="n"/>
      <c r="H359" s="59" t="n"/>
    </row>
    <row r="360">
      <c r="A360" s="50" t="n"/>
      <c r="B360" s="50" t="inlineStr">
        <is>
          <t>TOTAL COSTO DIRECTO</t>
        </is>
      </c>
      <c r="C360" s="51" t="n"/>
      <c r="D360" s="52" t="n"/>
      <c r="E360" s="200" t="n"/>
      <c r="F360" s="234">
        <f>+F7+F13+F40+F187+F306+F310+F23+F325+F328+F347+F350+F353</f>
        <v/>
      </c>
      <c r="G360" s="66" t="n"/>
      <c r="H360" s="67" t="n"/>
    </row>
    <row r="361">
      <c r="B361" s="53" t="n"/>
      <c r="C361" s="173" t="n"/>
    </row>
    <row r="362">
      <c r="B362" s="53" t="n"/>
      <c r="C362" s="173" t="n"/>
    </row>
    <row r="363">
      <c r="B363" s="53" t="n"/>
      <c r="C363" s="173" t="n"/>
    </row>
    <row r="364">
      <c r="B364" s="53" t="n"/>
      <c r="C364" s="173" t="n"/>
    </row>
    <row r="365"/>
    <row r="366"/>
    <row r="367">
      <c r="E367" s="235" t="n"/>
      <c r="G367" s="54" t="inlineStr">
        <is>
          <t>Firma y Timbre</t>
        </is>
      </c>
      <c r="H367" s="60" t="n"/>
    </row>
    <row r="368">
      <c r="E368" s="235" t="n"/>
      <c r="G368" s="54" t="inlineStr">
        <is>
          <t>Representante Legal del Proponente</t>
        </is>
      </c>
      <c r="H368" s="60" t="n"/>
    </row>
    <row r="369">
      <c r="B369" s="53" t="n"/>
      <c r="C369" s="173" t="n"/>
    </row>
    <row r="370">
      <c r="B370" s="55" t="n"/>
    </row>
  </sheetData>
  <mergeCells count="28">
    <mergeCell ref="H155:H168"/>
    <mergeCell ref="H189:H200"/>
    <mergeCell ref="H171:H185"/>
    <mergeCell ref="H245:H256"/>
    <mergeCell ref="H217:H228"/>
    <mergeCell ref="H14:H21"/>
    <mergeCell ref="H273:H284"/>
    <mergeCell ref="H75:H88"/>
    <mergeCell ref="H311:H323"/>
    <mergeCell ref="H139:H152"/>
    <mergeCell ref="H259:H270"/>
    <mergeCell ref="H329:H345"/>
    <mergeCell ref="H91:H104"/>
    <mergeCell ref="H231:H242"/>
    <mergeCell ref="H107:H120"/>
    <mergeCell ref="H354:H357"/>
    <mergeCell ref="A3:H3"/>
    <mergeCell ref="A2:H2"/>
    <mergeCell ref="H307:H308"/>
    <mergeCell ref="H59:H72"/>
    <mergeCell ref="A4:H4"/>
    <mergeCell ref="H123:H136"/>
    <mergeCell ref="H301:H304"/>
    <mergeCell ref="H8:H11"/>
    <mergeCell ref="H24:H38"/>
    <mergeCell ref="H42:H56"/>
    <mergeCell ref="H203:H214"/>
    <mergeCell ref="H287:H298"/>
  </mergeCells>
  <printOptions horizontalCentered="1"/>
  <pageMargins left="0.7086614173228347" right="0.7086614173228347" top="0.7480314960629921" bottom="0.7480314960629921" header="0.3149606299212598" footer="0.3149606299212598"/>
  <pageSetup orientation="portrait" scale="75" fitToHeight="2"/>
  <headerFooter>
    <oddHeader/>
    <oddFooter>&amp;C&amp;P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2:I72"/>
  <sheetViews>
    <sheetView showGridLines="0" zoomScaleNormal="100" zoomScaleSheetLayoutView="80" workbookViewId="0">
      <pane xSplit="2" ySplit="7" topLeftCell="C8" activePane="bottomRight" state="frozen"/>
      <selection pane="topRight" activeCell="A1" sqref="A1"/>
      <selection pane="bottomLeft" activeCell="A1" sqref="A1"/>
      <selection pane="bottomRight" activeCell="G9" sqref="G9"/>
    </sheetView>
  </sheetViews>
  <sheetFormatPr baseColWidth="10" defaultColWidth="11.3984375" defaultRowHeight="13.5"/>
  <cols>
    <col width="6.265625" customWidth="1" style="9" min="1" max="1"/>
    <col width="82" bestFit="1" customWidth="1" style="7" min="2" max="2"/>
    <col width="14.59765625" customWidth="1" style="9" min="3" max="3"/>
    <col width="13.73046875" customWidth="1" style="9" min="4" max="4"/>
    <col width="12.86328125" customWidth="1" style="9" min="5" max="5"/>
    <col width="16" customWidth="1" style="9" min="6" max="6"/>
    <col width="19.73046875" customWidth="1" style="9" min="7" max="7"/>
    <col width="64" customWidth="1" style="7" min="8" max="8"/>
    <col width="11.3984375" customWidth="1" style="7" min="9" max="16384"/>
  </cols>
  <sheetData>
    <row r="2">
      <c r="A2" s="156" t="inlineStr">
        <is>
          <t>ANEXO  N°</t>
        </is>
      </c>
    </row>
    <row r="3">
      <c r="A3" s="156">
        <f>+'Resumen Oferta'!B3</f>
        <v/>
      </c>
    </row>
    <row r="4">
      <c r="A4" s="157" t="inlineStr">
        <is>
          <t>DESGLOSE DE COSTO INDIRECTO, GASTOS GENERALES Y UTILIDADES</t>
        </is>
      </c>
    </row>
    <row r="6">
      <c r="B6" s="1" t="n"/>
      <c r="C6" s="157" t="n"/>
    </row>
    <row r="7">
      <c r="A7" s="39" t="inlineStr">
        <is>
          <t>N°</t>
        </is>
      </c>
      <c r="B7" s="38" t="inlineStr">
        <is>
          <t>Ítem</t>
        </is>
      </c>
      <c r="C7" s="38" t="inlineStr">
        <is>
          <t>Unidad</t>
        </is>
      </c>
      <c r="D7" s="38" t="inlineStr">
        <is>
          <t>Cantidad</t>
        </is>
      </c>
      <c r="E7" s="38" t="inlineStr">
        <is>
          <t>Tiempo</t>
        </is>
      </c>
      <c r="F7" s="38" t="inlineStr">
        <is>
          <t>Precio Unitario</t>
        </is>
      </c>
      <c r="G7" s="38" t="inlineStr">
        <is>
          <t>Total UF</t>
        </is>
      </c>
      <c r="H7" s="129" t="inlineStr">
        <is>
          <t>Pago</t>
        </is>
      </c>
    </row>
    <row r="8">
      <c r="A8" s="29" t="inlineStr">
        <is>
          <t>1.0</t>
        </is>
      </c>
      <c r="B8" s="30" t="inlineStr">
        <is>
          <t>Costos Indirectos de Obra</t>
        </is>
      </c>
      <c r="C8" s="31" t="n"/>
      <c r="D8" s="32" t="n"/>
      <c r="E8" s="32" t="n"/>
      <c r="F8" s="40" t="n"/>
      <c r="G8" s="40">
        <f>+G9+G12+G23+G29+G33</f>
        <v/>
      </c>
      <c r="H8" s="130" t="n"/>
    </row>
    <row r="9">
      <c r="A9" s="25" t="inlineStr">
        <is>
          <t>1.1</t>
        </is>
      </c>
      <c r="B9" s="26" t="inlineStr">
        <is>
          <t>Servicio de Vigilancia de Obra</t>
        </is>
      </c>
      <c r="C9" s="27" t="n"/>
      <c r="D9" s="28" t="n"/>
      <c r="E9" s="28" t="n"/>
      <c r="F9" s="41" t="n"/>
      <c r="G9" s="41">
        <f>+SUM(G10:G11)</f>
        <v/>
      </c>
      <c r="H9" s="131" t="n"/>
    </row>
    <row r="10" ht="25.5" customHeight="1">
      <c r="A10" s="23" t="inlineStr">
        <is>
          <t>1.1.1</t>
        </is>
      </c>
      <c r="B10" s="24" t="inlineStr">
        <is>
          <t>Servicio de vigilancia 24 horas, incluye guardias, insumos y garita de guardias habilitada</t>
        </is>
      </c>
      <c r="C10" s="21" t="inlineStr">
        <is>
          <t>mes</t>
        </is>
      </c>
      <c r="D10" s="236" t="n">
        <v>1</v>
      </c>
      <c r="E10" s="236" t="n">
        <v>24</v>
      </c>
      <c r="F10" s="237" t="n">
        <v>100</v>
      </c>
      <c r="G10" s="139">
        <f>+D10*E10*F10</f>
        <v/>
      </c>
      <c r="H10" s="132" t="inlineStr">
        <is>
          <t>5% con el cumplimiento de Condiciones contractuales, 85% por avance proporcional y 10% con la recepción provisional de la obra</t>
        </is>
      </c>
      <c r="I10" s="238" t="inlineStr">
        <is>
          <t>REF: Servicio vigilancia 24h externalizado</t>
        </is>
      </c>
    </row>
    <row r="11">
      <c r="A11" s="21" t="n"/>
      <c r="B11" s="24" t="n"/>
      <c r="C11" s="21" t="n"/>
      <c r="D11" s="20" t="n"/>
      <c r="E11" s="20" t="n"/>
      <c r="F11" s="22" t="n"/>
      <c r="G11" s="22" t="n"/>
      <c r="H11" s="133" t="n"/>
    </row>
    <row r="12">
      <c r="A12" s="25" t="inlineStr">
        <is>
          <t>1.2</t>
        </is>
      </c>
      <c r="B12" s="26" t="inlineStr">
        <is>
          <t>Personal Indirecto</t>
        </is>
      </c>
      <c r="C12" s="27" t="n"/>
      <c r="D12" s="28" t="n"/>
      <c r="E12" s="28" t="n"/>
      <c r="F12" s="41" t="n"/>
      <c r="G12" s="41">
        <f>+SUM(G13:G22)</f>
        <v/>
      </c>
      <c r="H12" s="134" t="n"/>
    </row>
    <row r="13">
      <c r="A13" s="23" t="inlineStr">
        <is>
          <t>1.2.1</t>
        </is>
      </c>
      <c r="B13" s="24" t="inlineStr">
        <is>
          <t>Administrador</t>
        </is>
      </c>
      <c r="C13" s="21" t="inlineStr">
        <is>
          <t>mes</t>
        </is>
      </c>
      <c r="D13" s="236" t="n">
        <v>1</v>
      </c>
      <c r="E13" s="236" t="n">
        <v>24</v>
      </c>
      <c r="F13" s="237" t="n">
        <v>150</v>
      </c>
      <c r="G13" s="139">
        <f>+D13*E13*F13</f>
        <v/>
      </c>
      <c r="H13" s="239" t="inlineStr">
        <is>
          <t>5% con el cumplimiento de Condiciones contractuales, 85% por avance proporcional y 10% con la recepción provisional de la obra</t>
        </is>
      </c>
      <c r="I13" s="238" t="inlineStr">
        <is>
          <t>REF: 1 Administrador (~$5.8M CLP/mes)</t>
        </is>
      </c>
    </row>
    <row r="14">
      <c r="A14" s="23" t="inlineStr">
        <is>
          <t>1.2.2</t>
        </is>
      </c>
      <c r="B14" s="24" t="inlineStr">
        <is>
          <t>Jefe de Terreno</t>
        </is>
      </c>
      <c r="C14" s="21" t="inlineStr">
        <is>
          <t>mes</t>
        </is>
      </c>
      <c r="D14" s="236" t="n">
        <v>1</v>
      </c>
      <c r="E14" s="236" t="n">
        <v>24</v>
      </c>
      <c r="F14" s="237" t="n">
        <v>120</v>
      </c>
      <c r="G14" s="139">
        <f>+D14*E14*F14</f>
        <v/>
      </c>
      <c r="H14" s="240" t="n"/>
      <c r="I14" s="238" t="inlineStr">
        <is>
          <t>REF: 1 Jefe de Terreno (~$4.6M CLP/mes)</t>
        </is>
      </c>
    </row>
    <row r="15">
      <c r="A15" s="23" t="inlineStr">
        <is>
          <t>1.2.3</t>
        </is>
      </c>
      <c r="B15" s="24" t="inlineStr">
        <is>
          <t>Supervisor</t>
        </is>
      </c>
      <c r="C15" s="21" t="inlineStr">
        <is>
          <t>mes</t>
        </is>
      </c>
      <c r="D15" s="236" t="n">
        <v>2</v>
      </c>
      <c r="E15" s="236" t="n">
        <v>24</v>
      </c>
      <c r="F15" s="237" t="n">
        <v>90</v>
      </c>
      <c r="G15" s="139">
        <f>+D15*E15*F15</f>
        <v/>
      </c>
      <c r="H15" s="240" t="n"/>
      <c r="I15" s="238" t="inlineStr">
        <is>
          <t>REF: 2 Supervisores en turnos</t>
        </is>
      </c>
    </row>
    <row r="16">
      <c r="A16" s="23" t="inlineStr">
        <is>
          <t>1.2.4</t>
        </is>
      </c>
      <c r="B16" s="24" t="inlineStr">
        <is>
          <t>Encargado de Prevención de Riesgos</t>
        </is>
      </c>
      <c r="C16" s="21" t="inlineStr">
        <is>
          <t>mes</t>
        </is>
      </c>
      <c r="D16" s="236" t="n">
        <v>1</v>
      </c>
      <c r="E16" s="236" t="n">
        <v>24</v>
      </c>
      <c r="F16" s="237" t="n">
        <v>80</v>
      </c>
      <c r="G16" s="139">
        <f>+D16*E16*F16</f>
        <v/>
      </c>
      <c r="H16" s="240" t="n"/>
      <c r="I16" s="238" t="inlineStr">
        <is>
          <t>REF: 1 Encargado Prevencion Riesgos</t>
        </is>
      </c>
    </row>
    <row r="17">
      <c r="A17" s="23" t="inlineStr">
        <is>
          <t>1.2.5</t>
        </is>
      </c>
      <c r="B17" s="24" t="inlineStr">
        <is>
          <t>Encargado de Medio Ambiente</t>
        </is>
      </c>
      <c r="C17" s="21" t="inlineStr">
        <is>
          <t>mes</t>
        </is>
      </c>
      <c r="D17" s="236" t="n">
        <v>1</v>
      </c>
      <c r="E17" s="236" t="n">
        <v>24</v>
      </c>
      <c r="F17" s="237" t="n">
        <v>70</v>
      </c>
      <c r="G17" s="139">
        <f>+D17*E17*F17</f>
        <v/>
      </c>
      <c r="H17" s="240" t="n"/>
      <c r="I17" s="238" t="inlineStr">
        <is>
          <t>REF: 1 Encargado Medio Ambiente</t>
        </is>
      </c>
    </row>
    <row r="18">
      <c r="A18" s="23" t="inlineStr">
        <is>
          <t>1.2.6</t>
        </is>
      </c>
      <c r="B18" s="24" t="inlineStr">
        <is>
          <t>Topógrafo</t>
        </is>
      </c>
      <c r="C18" s="21" t="inlineStr">
        <is>
          <t>mes</t>
        </is>
      </c>
      <c r="D18" s="236" t="n">
        <v>1</v>
      </c>
      <c r="E18" s="236" t="n">
        <v>24</v>
      </c>
      <c r="F18" s="237" t="n">
        <v>80</v>
      </c>
      <c r="G18" s="139">
        <f>+D18*E18*F18</f>
        <v/>
      </c>
      <c r="H18" s="240" t="n"/>
      <c r="I18" s="238" t="inlineStr">
        <is>
          <t>REF: 1 Topografo</t>
        </is>
      </c>
    </row>
    <row r="19">
      <c r="A19" s="23" t="inlineStr">
        <is>
          <t>1.2.7</t>
        </is>
      </c>
      <c r="B19" s="24" t="inlineStr">
        <is>
          <t>Trazador</t>
        </is>
      </c>
      <c r="C19" s="21" t="inlineStr">
        <is>
          <t>mes</t>
        </is>
      </c>
      <c r="D19" s="236" t="n">
        <v>1</v>
      </c>
      <c r="E19" s="236" t="n">
        <v>24</v>
      </c>
      <c r="F19" s="237" t="n">
        <v>55</v>
      </c>
      <c r="G19" s="139">
        <f>+D19*E19*F19</f>
        <v/>
      </c>
      <c r="H19" s="240" t="n"/>
      <c r="I19" s="238" t="inlineStr">
        <is>
          <t>REF: 1 Trazador</t>
        </is>
      </c>
    </row>
    <row r="20">
      <c r="A20" s="23" t="inlineStr">
        <is>
          <t>1.2.8</t>
        </is>
      </c>
      <c r="B20" s="24" t="inlineStr">
        <is>
          <t>Bodeguero</t>
        </is>
      </c>
      <c r="C20" s="21" t="inlineStr">
        <is>
          <t>mes</t>
        </is>
      </c>
      <c r="D20" s="236" t="n">
        <v>1</v>
      </c>
      <c r="E20" s="236" t="n">
        <v>24</v>
      </c>
      <c r="F20" s="237" t="n">
        <v>50</v>
      </c>
      <c r="G20" s="139">
        <f>+D20*E20*F20</f>
        <v/>
      </c>
      <c r="H20" s="240" t="n"/>
      <c r="I20" s="238" t="inlineStr">
        <is>
          <t>REF: 1 Bodeguero</t>
        </is>
      </c>
    </row>
    <row r="21">
      <c r="A21" s="23" t="inlineStr">
        <is>
          <t>1.2.9</t>
        </is>
      </c>
      <c r="B21" s="24" t="inlineStr">
        <is>
          <t>Otros (Desglosar)</t>
        </is>
      </c>
      <c r="C21" s="21" t="n"/>
      <c r="D21" s="20" t="n"/>
      <c r="E21" s="20" t="n"/>
      <c r="F21" s="22" t="n"/>
      <c r="G21" s="22" t="n"/>
      <c r="H21" s="241" t="n"/>
    </row>
    <row r="22">
      <c r="A22" s="21" t="n"/>
      <c r="B22" s="42" t="n"/>
      <c r="C22" s="21" t="n"/>
      <c r="D22" s="20" t="n"/>
      <c r="E22" s="20" t="n"/>
      <c r="F22" s="22" t="n"/>
      <c r="G22" s="22" t="n"/>
      <c r="H22" s="133" t="n"/>
    </row>
    <row r="23">
      <c r="A23" s="25" t="inlineStr">
        <is>
          <t>1.3</t>
        </is>
      </c>
      <c r="B23" s="26" t="inlineStr">
        <is>
          <t>Maquinarias, Equipos y Vehículos (Desglosar)</t>
        </is>
      </c>
      <c r="C23" s="27" t="n"/>
      <c r="D23" s="28" t="n"/>
      <c r="E23" s="28" t="n"/>
      <c r="F23" s="41" t="n"/>
      <c r="G23" s="41">
        <f>+SUM(G24:G28)</f>
        <v/>
      </c>
      <c r="H23" s="134" t="n"/>
    </row>
    <row r="24">
      <c r="A24" s="23" t="inlineStr">
        <is>
          <t>1.3.1</t>
        </is>
      </c>
      <c r="B24" s="24" t="inlineStr">
        <is>
          <t>Camioneta</t>
        </is>
      </c>
      <c r="C24" s="21" t="inlineStr">
        <is>
          <t>und</t>
        </is>
      </c>
      <c r="D24" s="236" t="n">
        <v>3</v>
      </c>
      <c r="E24" s="236" t="n">
        <v>24</v>
      </c>
      <c r="F24" s="237" t="n">
        <v>35</v>
      </c>
      <c r="G24" s="139">
        <f>+D24*E24*F24</f>
        <v/>
      </c>
      <c r="H24" s="239" t="inlineStr">
        <is>
          <t>5% con el cumplimiento de Condiciones contractuales, 85% por avance proporcional y 10% con la recepción provisional de la obra</t>
        </is>
      </c>
      <c r="I24" s="238" t="inlineStr">
        <is>
          <t>REF: 3 Camionetas operativas</t>
        </is>
      </c>
    </row>
    <row r="25">
      <c r="A25" s="23" t="inlineStr">
        <is>
          <t>1.3.2</t>
        </is>
      </c>
      <c r="B25" s="24" t="inlineStr">
        <is>
          <t>Fletes</t>
        </is>
      </c>
      <c r="C25" s="21" t="inlineStr">
        <is>
          <t>und</t>
        </is>
      </c>
      <c r="D25" s="236" t="n">
        <v>1</v>
      </c>
      <c r="E25" s="236" t="n">
        <v>24</v>
      </c>
      <c r="F25" s="237" t="n">
        <v>50</v>
      </c>
      <c r="G25" s="139">
        <f>+D25*E25*F25</f>
        <v/>
      </c>
      <c r="H25" s="240" t="n"/>
      <c r="I25" s="238" t="inlineStr">
        <is>
          <t>REF: Fletes mensuales</t>
        </is>
      </c>
    </row>
    <row r="26">
      <c r="A26" s="23" t="inlineStr">
        <is>
          <t>1.3.3</t>
        </is>
      </c>
      <c r="B26" s="24" t="inlineStr">
        <is>
          <t>Andamios</t>
        </is>
      </c>
      <c r="C26" s="21" t="inlineStr">
        <is>
          <t>gl</t>
        </is>
      </c>
      <c r="D26" s="236" t="n">
        <v>1</v>
      </c>
      <c r="E26" s="236" t="n">
        <v>24</v>
      </c>
      <c r="F26" s="237" t="n">
        <v>30</v>
      </c>
      <c r="G26" s="139">
        <f>+D26*E26*F26</f>
        <v/>
      </c>
      <c r="H26" s="240" t="n"/>
      <c r="I26" s="238" t="inlineStr">
        <is>
          <t>REF: Arriendo andamios</t>
        </is>
      </c>
    </row>
    <row r="27">
      <c r="A27" s="23" t="inlineStr">
        <is>
          <t>1.3.4</t>
        </is>
      </c>
      <c r="B27" s="24" t="inlineStr">
        <is>
          <t>Maquinarias y equipos menores</t>
        </is>
      </c>
      <c r="C27" s="127" t="inlineStr">
        <is>
          <t>gl</t>
        </is>
      </c>
      <c r="D27" s="236" t="n">
        <v>1</v>
      </c>
      <c r="E27" s="236" t="n">
        <v>24</v>
      </c>
      <c r="F27" s="237" t="n">
        <v>80</v>
      </c>
      <c r="G27" s="139">
        <f>+D27*E27*F27</f>
        <v/>
      </c>
      <c r="H27" s="241" t="n"/>
      <c r="I27" s="238" t="inlineStr">
        <is>
          <t>REF: Equipos menores (grupos, compresor)</t>
        </is>
      </c>
    </row>
    <row r="28">
      <c r="A28" s="35" t="n"/>
      <c r="B28" s="36" t="n"/>
      <c r="C28" s="19" t="n"/>
      <c r="D28" s="37" t="n"/>
      <c r="E28" s="37" t="n"/>
      <c r="F28" s="37" t="n"/>
      <c r="G28" s="37" t="n"/>
      <c r="H28" s="133" t="n"/>
    </row>
    <row r="29">
      <c r="A29" s="25" t="inlineStr">
        <is>
          <t>1.4</t>
        </is>
      </c>
      <c r="B29" s="26" t="inlineStr">
        <is>
          <t xml:space="preserve">Gastos de Disposición de Resíduos </t>
        </is>
      </c>
      <c r="C29" s="27" t="n"/>
      <c r="D29" s="28" t="n"/>
      <c r="E29" s="28" t="n"/>
      <c r="F29" s="41" t="n"/>
      <c r="G29" s="41">
        <f>+SUM(G30:G32)</f>
        <v/>
      </c>
      <c r="H29" s="134" t="n"/>
    </row>
    <row r="30">
      <c r="A30" s="23" t="inlineStr">
        <is>
          <t>1.4.1</t>
        </is>
      </c>
      <c r="B30" s="24" t="inlineStr">
        <is>
          <t>Disposición de Resíduos</t>
        </is>
      </c>
      <c r="C30" s="21" t="inlineStr">
        <is>
          <t>gl</t>
        </is>
      </c>
      <c r="D30" s="236" t="n">
        <v>1</v>
      </c>
      <c r="E30" s="236" t="n">
        <v>24</v>
      </c>
      <c r="F30" s="237" t="n">
        <v>50</v>
      </c>
      <c r="G30" s="139">
        <f>+D30*E30*F30</f>
        <v/>
      </c>
      <c r="H30" s="239" t="inlineStr">
        <is>
          <t>5% con el cumplimiento de Condiciones contractuales, 85% por avance proporcional y 10% con la recepción provisional de la obra</t>
        </is>
      </c>
      <c r="I30" s="238" t="inlineStr">
        <is>
          <t>REF: Disposicion residuos sólidos</t>
        </is>
      </c>
    </row>
    <row r="31">
      <c r="A31" s="23" t="inlineStr">
        <is>
          <t>1.4.2</t>
        </is>
      </c>
      <c r="B31" s="24" t="inlineStr">
        <is>
          <t>Disposición de Excedentes de la Obra</t>
        </is>
      </c>
      <c r="C31" s="21" t="inlineStr">
        <is>
          <t>gl</t>
        </is>
      </c>
      <c r="D31" s="236" t="n">
        <v>1</v>
      </c>
      <c r="E31" s="236" t="n">
        <v>24</v>
      </c>
      <c r="F31" s="237" t="n">
        <v>120</v>
      </c>
      <c r="G31" s="139">
        <f>+D31*E31*F31</f>
        <v/>
      </c>
      <c r="H31" s="241" t="n"/>
      <c r="I31" s="238" t="inlineStr">
        <is>
          <t>REF: Disposicion excedentes excavación</t>
        </is>
      </c>
    </row>
    <row r="32">
      <c r="A32" s="21" t="n"/>
      <c r="B32" s="24" t="n"/>
      <c r="C32" s="21" t="n"/>
      <c r="D32" s="20" t="n"/>
      <c r="E32" s="20" t="n"/>
      <c r="F32" s="22" t="n"/>
      <c r="G32" s="22" t="n"/>
      <c r="H32" s="133" t="n"/>
    </row>
    <row r="33">
      <c r="A33" s="25" t="inlineStr">
        <is>
          <t>1.6</t>
        </is>
      </c>
      <c r="B33" s="26" t="inlineStr">
        <is>
          <t>Otros (Desglosar)</t>
        </is>
      </c>
      <c r="C33" s="27" t="n"/>
      <c r="D33" s="28" t="n"/>
      <c r="E33" s="28" t="n"/>
      <c r="F33" s="41" t="n"/>
      <c r="G33" s="41">
        <f>+SUM(G34:G45)</f>
        <v/>
      </c>
      <c r="H33" s="134" t="n"/>
    </row>
    <row r="34">
      <c r="A34" s="23" t="inlineStr">
        <is>
          <t>1.6.1</t>
        </is>
      </c>
      <c r="B34" s="24" t="n"/>
      <c r="C34" s="21" t="n"/>
      <c r="D34" s="20" t="n"/>
      <c r="E34" s="20" t="n"/>
      <c r="F34" s="126" t="n"/>
      <c r="G34" s="139">
        <f>+D34*E34*F34</f>
        <v/>
      </c>
      <c r="H34" s="242" t="inlineStr">
        <is>
          <t>5% con el cumplimiento de Condiciones contractuales, 85% por avance proporcional y 10% con la recepción provisional de la obra</t>
        </is>
      </c>
    </row>
    <row r="35">
      <c r="A35" s="23" t="inlineStr">
        <is>
          <t>1.6.2</t>
        </is>
      </c>
      <c r="B35" s="24" t="n"/>
      <c r="C35" s="21" t="n"/>
      <c r="D35" s="20" t="n"/>
      <c r="E35" s="20" t="n"/>
      <c r="F35" s="126" t="n"/>
      <c r="G35" s="139">
        <f>+D35*E35*F35</f>
        <v/>
      </c>
      <c r="H35" s="240" t="n"/>
    </row>
    <row r="36">
      <c r="A36" s="23" t="inlineStr">
        <is>
          <t>1.6.3</t>
        </is>
      </c>
      <c r="B36" s="24" t="n"/>
      <c r="C36" s="21" t="n"/>
      <c r="D36" s="20" t="n"/>
      <c r="E36" s="20" t="n"/>
      <c r="F36" s="126" t="n"/>
      <c r="G36" s="139">
        <f>+D36*E36*F36</f>
        <v/>
      </c>
      <c r="H36" s="243" t="n"/>
    </row>
    <row r="37">
      <c r="A37" s="23" t="n"/>
      <c r="B37" s="24" t="n"/>
      <c r="C37" s="21" t="n"/>
      <c r="D37" s="20" t="n"/>
      <c r="E37" s="20" t="n"/>
      <c r="F37" s="126" t="n"/>
      <c r="G37" s="139" t="n"/>
      <c r="H37" s="135" t="n"/>
    </row>
    <row r="38" ht="29.65" customHeight="1">
      <c r="A38" s="93" t="inlineStr">
        <is>
          <t>1.7</t>
        </is>
      </c>
      <c r="B38" s="153" t="inlineStr">
        <is>
          <t>Cobros por Cambios Previsto. Costo por semana de retraso del Mandante en la entrega de los Permisos del Mandante</t>
        </is>
      </c>
      <c r="C38" s="94" t="n"/>
      <c r="D38" s="95" t="n"/>
      <c r="E38" s="95" t="n"/>
      <c r="F38" s="96" t="n"/>
      <c r="G38" s="96">
        <f>+SUM(G39:G45)</f>
        <v/>
      </c>
      <c r="H38" s="155" t="n"/>
    </row>
    <row r="39" ht="25.5" customHeight="1">
      <c r="A39" s="97" t="inlineStr">
        <is>
          <t>1.7.1</t>
        </is>
      </c>
      <c r="B39" s="149" t="inlineStr">
        <is>
          <t>Costo único a cobrar por mes de retraso del Mandante en su plazo de entrega de los Permisos del Mandante, por sobre los 210 días establecidos en las Bases Técnicas</t>
        </is>
      </c>
      <c r="C39" s="98" t="inlineStr">
        <is>
          <t>semana</t>
        </is>
      </c>
      <c r="D39" s="99" t="n">
        <v>4</v>
      </c>
      <c r="E39" s="99" t="n"/>
      <c r="F39" s="128" t="n"/>
      <c r="G39" s="154">
        <f>+D39*E39*F39</f>
        <v/>
      </c>
      <c r="H39" s="132" t="inlineStr">
        <is>
          <t>Partida a precio unitario
90% por avance proporcional y 10% con la recepción provisional de la obra</t>
        </is>
      </c>
    </row>
    <row r="40">
      <c r="A40" s="97" t="n"/>
      <c r="B40" s="141" t="n"/>
      <c r="C40" s="98" t="n"/>
      <c r="D40" s="99" t="n"/>
      <c r="E40" s="99" t="n"/>
      <c r="F40" s="128" t="n"/>
      <c r="G40" s="139" t="n"/>
      <c r="H40" s="182" t="n"/>
    </row>
    <row r="41" ht="39" customHeight="1">
      <c r="A41" s="93" t="inlineStr">
        <is>
          <t>1.8</t>
        </is>
      </c>
      <c r="B41" s="153" t="inlineStr">
        <is>
          <t>Cobros por Cambios Previsto. Paralizaciones por responsabilidad del Mandante [definiciones en Bases Técnicas]</t>
        </is>
      </c>
      <c r="C41" s="94" t="n"/>
      <c r="D41" s="95" t="n"/>
      <c r="E41" s="95" t="n"/>
      <c r="F41" s="96" t="n"/>
      <c r="G41" s="96">
        <f>+SUM(G42:G47)</f>
        <v/>
      </c>
      <c r="H41" s="134" t="n"/>
    </row>
    <row r="42" ht="25.5" customHeight="1">
      <c r="A42" s="97" t="inlineStr">
        <is>
          <t>1.8.1</t>
        </is>
      </c>
      <c r="B42" s="141" t="inlineStr">
        <is>
          <t>Costo de Desmovilización de Personal de un frente de trabajo.</t>
        </is>
      </c>
      <c r="C42" s="98" t="inlineStr">
        <is>
          <t>gl</t>
        </is>
      </c>
      <c r="D42" s="99" t="n">
        <v>3</v>
      </c>
      <c r="E42" s="99" t="n"/>
      <c r="F42" s="128" t="n"/>
      <c r="G42" s="139">
        <f>+D42*E42*F42</f>
        <v/>
      </c>
      <c r="H42" s="182" t="inlineStr">
        <is>
          <t>Partida a precio unitario
90% por avance proporcional y 10% con la recepción provisional de la obra</t>
        </is>
      </c>
    </row>
    <row r="43" ht="25.5" customHeight="1">
      <c r="A43" s="97" t="inlineStr">
        <is>
          <t>1.8.2</t>
        </is>
      </c>
      <c r="B43" s="141" t="inlineStr">
        <is>
          <t>Costo de Mantrener la Instalación de Faenas y la Vigilancia durante la paralización</t>
        </is>
      </c>
      <c r="C43" s="98" t="inlineStr">
        <is>
          <t>semana</t>
        </is>
      </c>
      <c r="D43" s="99" t="n">
        <v>10</v>
      </c>
      <c r="E43" s="99" t="n"/>
      <c r="F43" s="128" t="n"/>
      <c r="G43" s="139">
        <f>+D43*E43*F43</f>
        <v/>
      </c>
      <c r="H43" s="182" t="inlineStr">
        <is>
          <t>Partida a precio unitario
90% por avance proporcional y 10% con la recepción provisional de la obra</t>
        </is>
      </c>
    </row>
    <row r="44" ht="25.5" customHeight="1">
      <c r="A44" s="97" t="inlineStr">
        <is>
          <t>1.8.3</t>
        </is>
      </c>
      <c r="B44" s="141" t="inlineStr">
        <is>
          <t>Costo de Extensión de Plazos de toda la Obra por Razones del Mandante, descontados los retrasos del Contratista</t>
        </is>
      </c>
      <c r="C44" s="98" t="inlineStr">
        <is>
          <t>semana</t>
        </is>
      </c>
      <c r="D44" s="99" t="n">
        <v>10</v>
      </c>
      <c r="E44" s="99" t="n"/>
      <c r="F44" s="128" t="n"/>
      <c r="G44" s="139">
        <f>+D44*E44*F44</f>
        <v/>
      </c>
      <c r="H44" s="182" t="inlineStr">
        <is>
          <t>Partida a precio unitario
90% por avance proporcional y 10% con la recepción provisional de la obra</t>
        </is>
      </c>
    </row>
    <row r="45">
      <c r="A45" s="21" t="n"/>
      <c r="B45" s="24" t="n"/>
      <c r="C45" s="21" t="n"/>
      <c r="D45" s="20" t="n"/>
      <c r="E45" s="20" t="n"/>
      <c r="F45" s="22" t="n"/>
      <c r="G45" s="22" t="n"/>
      <c r="H45" s="140" t="n"/>
    </row>
    <row r="46">
      <c r="A46" s="29" t="inlineStr">
        <is>
          <t>2.0</t>
        </is>
      </c>
      <c r="B46" s="30" t="inlineStr">
        <is>
          <t>Gastos Generales</t>
        </is>
      </c>
      <c r="C46" s="31" t="n"/>
      <c r="D46" s="33" t="n"/>
      <c r="E46" s="33" t="n"/>
      <c r="F46" s="40" t="n"/>
      <c r="G46" s="40">
        <f>+SUM(G47:G51)</f>
        <v/>
      </c>
      <c r="H46" s="138" t="n"/>
    </row>
    <row r="47">
      <c r="A47" s="23" t="inlineStr">
        <is>
          <t>2.1</t>
        </is>
      </c>
      <c r="B47" s="24" t="inlineStr">
        <is>
          <t>Aporte a Oficina Central</t>
        </is>
      </c>
      <c r="C47" s="21" t="inlineStr">
        <is>
          <t>gl</t>
        </is>
      </c>
      <c r="D47" s="236" t="n">
        <v>1</v>
      </c>
      <c r="E47" s="236" t="n">
        <v>1</v>
      </c>
      <c r="F47" s="237" t="n">
        <v>3200</v>
      </c>
      <c r="G47" s="139">
        <f>+D47*E47*F47</f>
        <v/>
      </c>
      <c r="H47" s="181" t="inlineStr">
        <is>
          <t>5% con el cumplimiento de Condiciones contractuales, 85% por avance proporcional y 10% con la recepción provisional de la obra</t>
        </is>
      </c>
      <c r="I47" s="238" t="inlineStr">
        <is>
          <t>REF: Aporte oficina central ~4.4% directo</t>
        </is>
      </c>
    </row>
    <row r="48" ht="14.25" customHeight="1">
      <c r="A48" s="23" t="inlineStr">
        <is>
          <t>2.2</t>
        </is>
      </c>
      <c r="B48" s="24" t="inlineStr">
        <is>
          <t>Gastos Financieros</t>
        </is>
      </c>
      <c r="C48" s="21" t="inlineStr">
        <is>
          <t>gl</t>
        </is>
      </c>
      <c r="D48" s="236" t="n">
        <v>1</v>
      </c>
      <c r="E48" s="236" t="n">
        <v>1</v>
      </c>
      <c r="F48" s="237" t="n">
        <v>1800</v>
      </c>
      <c r="G48" s="139">
        <f>+D48*E48*F48</f>
        <v/>
      </c>
      <c r="H48" s="207" t="n"/>
      <c r="I48" s="238" t="inlineStr">
        <is>
          <t>REF: Gastos financieros ~2.5% directo</t>
        </is>
      </c>
    </row>
    <row r="49">
      <c r="A49" s="23" t="inlineStr">
        <is>
          <t>2.3</t>
        </is>
      </c>
      <c r="B49" s="24" t="inlineStr">
        <is>
          <t>Boletas de Garantía y Seguros</t>
        </is>
      </c>
      <c r="C49" s="21" t="inlineStr">
        <is>
          <t>gl</t>
        </is>
      </c>
      <c r="D49" s="236" t="n">
        <v>1</v>
      </c>
      <c r="E49" s="236" t="n">
        <v>1</v>
      </c>
      <c r="F49" s="237" t="n">
        <v>1200</v>
      </c>
      <c r="G49" s="139">
        <f>+D49*E49*F49</f>
        <v/>
      </c>
      <c r="H49" s="207" t="n"/>
      <c r="I49" s="238" t="inlineStr">
        <is>
          <t>REF: Boletas garantia + seguros ~1.6% directo</t>
        </is>
      </c>
    </row>
    <row r="50">
      <c r="A50" s="23" t="inlineStr">
        <is>
          <t>2.4</t>
        </is>
      </c>
      <c r="B50" s="24" t="inlineStr">
        <is>
          <t>Otros (Desglosar)</t>
        </is>
      </c>
      <c r="C50" s="21" t="n"/>
      <c r="D50" s="20" t="n"/>
      <c r="E50" s="20" t="n"/>
      <c r="F50" s="22" t="n"/>
      <c r="G50" s="139" t="n"/>
      <c r="H50" s="137" t="n"/>
    </row>
    <row r="51">
      <c r="A51" s="21" t="n"/>
      <c r="B51" s="24" t="n"/>
      <c r="C51" s="21" t="n"/>
      <c r="D51" s="20" t="n"/>
      <c r="E51" s="20" t="n"/>
      <c r="F51" s="22" t="n"/>
      <c r="G51" s="22" t="n"/>
      <c r="H51" s="133" t="n"/>
    </row>
    <row r="52">
      <c r="A52" s="29" t="inlineStr">
        <is>
          <t>3.0</t>
        </is>
      </c>
      <c r="B52" s="34" t="inlineStr">
        <is>
          <t>Utilidades</t>
        </is>
      </c>
      <c r="C52" s="31" t="n"/>
      <c r="D52" s="33" t="n"/>
      <c r="E52" s="33" t="n"/>
      <c r="F52" s="40" t="n"/>
      <c r="G52" s="40">
        <f>+SUM(G53:G54)</f>
        <v/>
      </c>
      <c r="H52" s="138" t="n"/>
    </row>
    <row r="53" ht="25.5" customHeight="1">
      <c r="A53" s="23" t="inlineStr">
        <is>
          <t>3.1</t>
        </is>
      </c>
      <c r="B53" s="24" t="inlineStr">
        <is>
          <t>Utilidades del Contratista</t>
        </is>
      </c>
      <c r="C53" s="21" t="inlineStr">
        <is>
          <t>gl</t>
        </is>
      </c>
      <c r="D53" s="236" t="n">
        <v>1</v>
      </c>
      <c r="E53" s="236" t="n">
        <v>1</v>
      </c>
      <c r="F53" s="237" t="n">
        <v>8000</v>
      </c>
      <c r="G53" s="139">
        <f>+D53*E53*F53</f>
        <v/>
      </c>
      <c r="H53" s="132" t="inlineStr">
        <is>
          <t>5% con el cumplimiento de Condiciones contractuales, 85% por avance proporcional y 10% con la recepción provisional de la obra</t>
        </is>
      </c>
      <c r="I53" s="238" t="inlineStr">
        <is>
          <t>REF: Utilidad contratista ~11% directo</t>
        </is>
      </c>
    </row>
    <row r="54">
      <c r="A54" s="21" t="n"/>
      <c r="B54" s="24" t="n"/>
      <c r="C54" s="21" t="n"/>
      <c r="D54" s="20" t="n"/>
      <c r="E54" s="20" t="n"/>
      <c r="F54" s="21" t="n"/>
      <c r="G54" s="22" t="n"/>
      <c r="H54" s="133" t="n"/>
    </row>
    <row r="55">
      <c r="A55" s="156" t="n"/>
      <c r="B55" s="12" t="n"/>
      <c r="C55" s="156" t="n"/>
      <c r="D55" s="156" t="n"/>
      <c r="E55" s="156" t="n"/>
      <c r="F55" s="156" t="n"/>
      <c r="G55" s="13" t="n"/>
    </row>
    <row r="56">
      <c r="A56" s="157" t="n"/>
      <c r="B56" s="4" t="inlineStr">
        <is>
          <t>TOTAL COSTO INDIRECTO</t>
        </is>
      </c>
      <c r="C56" s="157" t="n"/>
      <c r="D56" s="156" t="n"/>
      <c r="E56" s="156" t="n"/>
      <c r="F56" s="156" t="n"/>
      <c r="G56" s="18">
        <f>+G8</f>
        <v/>
      </c>
    </row>
    <row r="57">
      <c r="B57" s="4" t="inlineStr">
        <is>
          <t>TOTAL GASTOS GENERALES</t>
        </is>
      </c>
      <c r="C57" s="157" t="n"/>
      <c r="D57" s="156" t="n"/>
      <c r="E57" s="156" t="n"/>
      <c r="F57" s="156" t="n"/>
      <c r="G57" s="18">
        <f>+G46</f>
        <v/>
      </c>
    </row>
    <row r="58">
      <c r="B58" s="4" t="inlineStr">
        <is>
          <t>TOTAL UTILIDAD</t>
        </is>
      </c>
      <c r="C58" s="157" t="n"/>
      <c r="D58" s="156" t="n"/>
      <c r="E58" s="156" t="n"/>
      <c r="F58" s="156" t="n"/>
      <c r="G58" s="18">
        <f>+G52</f>
        <v/>
      </c>
    </row>
    <row r="59">
      <c r="B59" s="1" t="n"/>
      <c r="C59" s="157" t="n"/>
      <c r="D59" s="156" t="n"/>
      <c r="E59" s="156" t="n"/>
      <c r="F59" s="156" t="n"/>
      <c r="G59" s="156" t="n"/>
    </row>
    <row r="60">
      <c r="B60" s="1" t="n"/>
      <c r="C60" s="157" t="n"/>
      <c r="D60" s="156" t="n"/>
      <c r="E60" s="156" t="n"/>
      <c r="F60" s="156" t="n"/>
      <c r="G60" s="156" t="n"/>
    </row>
    <row r="61">
      <c r="B61" s="1" t="n"/>
      <c r="C61" s="157" t="n"/>
      <c r="D61" s="156" t="n"/>
      <c r="E61" s="156" t="n"/>
      <c r="F61" s="156" t="n"/>
      <c r="G61" s="156" t="n"/>
    </row>
    <row r="62">
      <c r="B62" s="1" t="n"/>
      <c r="C62" s="157" t="n"/>
      <c r="D62" s="156" t="n"/>
      <c r="E62" s="156" t="n"/>
      <c r="F62" s="156" t="n"/>
      <c r="G62" s="156" t="n"/>
    </row>
    <row r="63">
      <c r="B63" s="1" t="n"/>
      <c r="C63" s="157" t="n"/>
      <c r="D63" s="156" t="n"/>
      <c r="E63" s="156" t="n"/>
      <c r="F63" s="156" t="n"/>
      <c r="G63" s="156" t="n"/>
    </row>
    <row r="64">
      <c r="B64" s="1" t="n"/>
      <c r="C64" s="157" t="n"/>
      <c r="D64" s="156" t="n"/>
      <c r="E64" s="156" t="n"/>
      <c r="F64" s="156" t="n"/>
      <c r="G64" s="13" t="n"/>
    </row>
    <row r="65">
      <c r="D65" s="156" t="n"/>
      <c r="E65" s="156" t="n"/>
      <c r="F65" s="156" t="n"/>
      <c r="G65" s="14" t="n"/>
    </row>
    <row r="66">
      <c r="D66" s="156" t="n"/>
      <c r="E66" s="156" t="n"/>
      <c r="F66" s="156" t="n"/>
      <c r="G66" s="156" t="n"/>
    </row>
    <row r="67">
      <c r="D67" s="156" t="n"/>
      <c r="E67" s="156" t="n"/>
      <c r="F67" s="157" t="inlineStr">
        <is>
          <t>Firma y Timbre</t>
        </is>
      </c>
      <c r="G67" s="156" t="n"/>
    </row>
    <row r="68">
      <c r="D68" s="156" t="n"/>
      <c r="E68" s="156" t="n"/>
      <c r="F68" s="157" t="inlineStr">
        <is>
          <t>Representante Legal del Proponente</t>
        </is>
      </c>
      <c r="G68" s="156" t="n"/>
    </row>
    <row r="69">
      <c r="B69" s="3" t="n"/>
      <c r="C69" s="16" t="n"/>
      <c r="D69" s="156" t="n"/>
      <c r="E69" s="156" t="n"/>
      <c r="F69" s="156" t="n"/>
      <c r="G69" s="156" t="n"/>
    </row>
    <row r="70">
      <c r="B70" s="12" t="n"/>
      <c r="C70" s="156" t="n"/>
    </row>
    <row r="72">
      <c r="A72" s="244" t="inlineStr">
        <is>
          <t>⚠ Valores en salmón (cantidades, tiempos, precios) son REFERENCIALES para plazo 24 meses. Contratista debe ajustar a su estructura organizacional y plazo real.</t>
        </is>
      </c>
    </row>
  </sheetData>
  <mergeCells count="9">
    <mergeCell ref="H30:H31"/>
    <mergeCell ref="H13:H21"/>
    <mergeCell ref="A3:G3"/>
    <mergeCell ref="A72:H72"/>
    <mergeCell ref="H34:H36"/>
    <mergeCell ref="A4:G4"/>
    <mergeCell ref="A2:G2"/>
    <mergeCell ref="H24:H27"/>
    <mergeCell ref="H47:H49"/>
  </mergeCells>
  <printOptions horizontalCentered="1"/>
  <pageMargins left="0.7086614173228347" right="0.7086614173228347" top="0.7480314960629921" bottom="0.7480314960629921" header="0.3149606299212598" footer="0.3149606299212598"/>
  <pageSetup orientation="portrait" scale="75" fitToHeight="2"/>
  <headerFooter>
    <oddHeader/>
    <oddFooter>&amp;C&amp;P de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40" customWidth="1" min="1" max="1"/>
    <col width="10" customWidth="1" min="2" max="2"/>
    <col width="14" customWidth="1" min="3" max="3"/>
    <col width="14" customWidth="1" min="4" max="4"/>
    <col width="14" customWidth="1" min="5" max="5"/>
    <col width="35" customWidth="1" min="6" max="6"/>
  </cols>
  <sheetData>
    <row r="1">
      <c r="A1" s="245" t="inlineStr">
        <is>
          <t>ANÁLISIS DE PRECIOS — TÚNEL LAT VITACURA-PROVIDENCIA</t>
        </is>
      </c>
    </row>
    <row r="2">
      <c r="A2" s="246" t="inlineStr">
        <is>
          <t>UF referencial: 38,500 CLP (mayo 2026) | Generado: 2026-05-19</t>
        </is>
      </c>
    </row>
    <row r="3">
      <c r="A3" s="247" t="inlineStr">
        <is>
          <t>⚠ SUPUESTO: cantidades sección 5 calculadas para 1 túnel Ø2.21m por tramo. Si la licitación requiere 2 túneles paralelos, multiplicar cantidades 5.x por 2.</t>
        </is>
      </c>
    </row>
    <row r="5">
      <c r="A5" s="248" t="inlineStr">
        <is>
          <t>1. CUBICACIÓN REALIZADA (cantidades pre-llenadas en hoja A)</t>
        </is>
      </c>
    </row>
    <row r="6">
      <c r="A6" s="249" t="inlineStr">
        <is>
          <t>Partida</t>
        </is>
      </c>
      <c r="B6" s="249" t="inlineStr">
        <is>
          <t>Cant.</t>
        </is>
      </c>
      <c r="C6" s="249" t="inlineStr">
        <is>
          <t>Unidad</t>
        </is>
      </c>
      <c r="D6" s="249" t="inlineStr">
        <is>
          <t>Ítems licitación</t>
        </is>
      </c>
      <c r="E6" s="249" t="inlineStr">
        <is>
          <t>UF est. medio</t>
        </is>
      </c>
      <c r="F6" s="249" t="inlineStr">
        <is>
          <t>Fuente / Cómo se calculó</t>
        </is>
      </c>
    </row>
    <row r="7">
      <c r="A7" s="250" t="inlineStr">
        <is>
          <t>Excavación pique</t>
        </is>
      </c>
      <c r="B7" s="250" t="n">
        <v>1770.35</v>
      </c>
      <c r="C7" s="250" t="inlineStr">
        <is>
          <t>m3</t>
        </is>
      </c>
      <c r="D7" s="250" t="inlineStr">
        <is>
          <t>4.1.1</t>
        </is>
      </c>
      <c r="E7" s="250" t="inlineStr">
        <is>
          <t>4,868 UF</t>
        </is>
      </c>
      <c r="F7" s="250" t="inlineStr">
        <is>
          <t>área(12.57m²) × profundidad(20m)</t>
        </is>
      </c>
    </row>
    <row r="8">
      <c r="A8" s="250" t="inlineStr">
        <is>
          <t>Retiro excavación</t>
        </is>
      </c>
      <c r="B8" s="250" t="n">
        <v>1770.35</v>
      </c>
      <c r="C8" s="250" t="inlineStr">
        <is>
          <t>m3</t>
        </is>
      </c>
      <c r="D8" s="250" t="inlineStr">
        <is>
          <t>4.1.2</t>
        </is>
      </c>
      <c r="E8" s="250" t="inlineStr">
        <is>
          <t>2,036 UF</t>
        </is>
      </c>
      <c r="F8" s="250" t="inlineStr">
        <is>
          <t>igual excavación — flete botadero</t>
        </is>
      </c>
    </row>
    <row r="9">
      <c r="A9" s="250" t="inlineStr">
        <is>
          <t>Montaje liner pique</t>
        </is>
      </c>
      <c r="B9" s="250" t="n">
        <v>140.88</v>
      </c>
      <c r="C9" s="250" t="inlineStr">
        <is>
          <t>m</t>
        </is>
      </c>
      <c r="D9" s="250" t="inlineStr">
        <is>
          <t>4.1.3</t>
        </is>
      </c>
      <c r="E9" s="250" t="inlineStr">
        <is>
          <t>845 UF</t>
        </is>
      </c>
      <c r="F9" s="250" t="inlineStr">
        <is>
          <t>profundidad pique (20m = 20 anillos)</t>
        </is>
      </c>
    </row>
    <row r="10">
      <c r="A10" s="250" t="inlineStr">
        <is>
          <t>Montaje escalas+plataformas</t>
        </is>
      </c>
      <c r="B10" s="250" t="n">
        <v>9</v>
      </c>
      <c r="C10" s="250" t="inlineStr">
        <is>
          <t>gl</t>
        </is>
      </c>
      <c r="D10" s="250" t="inlineStr">
        <is>
          <t>4.1.8</t>
        </is>
      </c>
      <c r="E10" s="250" t="inlineStr">
        <is>
          <t>810 UF</t>
        </is>
      </c>
      <c r="F10" s="250" t="inlineStr">
        <is>
          <t>1 gl por pique (STM aporta estructuras)</t>
        </is>
      </c>
    </row>
    <row r="11">
      <c r="A11" s="250" t="inlineStr">
        <is>
          <t>Brocal definitivo</t>
        </is>
      </c>
      <c r="B11" s="250" t="n">
        <v>9</v>
      </c>
      <c r="C11" s="250" t="inlineStr">
        <is>
          <t>gl</t>
        </is>
      </c>
      <c r="D11" s="250" t="inlineStr">
        <is>
          <t>4.1.15</t>
        </is>
      </c>
      <c r="E11" s="250" t="inlineStr">
        <is>
          <t>1,035 UF</t>
        </is>
      </c>
      <c r="F11" s="250" t="inlineStr">
        <is>
          <t>1 gl por pique</t>
        </is>
      </c>
    </row>
    <row r="12">
      <c r="A12" s="250" t="inlineStr">
        <is>
          <t>Excavación túnel</t>
        </is>
      </c>
      <c r="B12" s="250" t="n">
        <v>9414.219999999999</v>
      </c>
      <c r="C12" s="250" t="inlineStr">
        <is>
          <t>m3</t>
        </is>
      </c>
      <c r="D12" s="250" t="inlineStr">
        <is>
          <t>5.1-5.8</t>
        </is>
      </c>
      <c r="E12" s="250" t="inlineStr">
        <is>
          <t>47,071 UF</t>
        </is>
      </c>
      <c r="F12" s="250" t="inlineStr">
        <is>
          <t>área(3.84m²) × longitud / 8 tramos</t>
        </is>
      </c>
    </row>
    <row r="13">
      <c r="A13" s="250" t="inlineStr">
        <is>
          <t>Montaje liner túnel Ø2.21m</t>
        </is>
      </c>
      <c r="B13" s="250" t="n">
        <v>2454.2</v>
      </c>
      <c r="C13" s="250" t="inlineStr">
        <is>
          <t>m</t>
        </is>
      </c>
      <c r="D13" s="250" t="inlineStr">
        <is>
          <t>5.1-5.8</t>
        </is>
      </c>
      <c r="E13" s="250" t="inlineStr">
        <is>
          <t>11,657 UF</t>
        </is>
      </c>
      <c r="F13" s="250" t="inlineStr">
        <is>
          <t>longitud tunel / 8 tramos</t>
        </is>
      </c>
    </row>
    <row r="14">
      <c r="A14" s="250" t="inlineStr">
        <is>
          <t>Radier túnel H30</t>
        </is>
      </c>
      <c r="B14" s="250" t="n">
        <v>813.5700000000001</v>
      </c>
      <c r="C14" s="250" t="inlineStr">
        <is>
          <t>m3</t>
        </is>
      </c>
      <c r="D14" s="250" t="inlineStr">
        <is>
          <t>5.1-5.8</t>
        </is>
      </c>
      <c r="E14" s="250" t="inlineStr">
        <is>
          <t>6,915 UF</t>
        </is>
      </c>
      <c r="F14" s="250" t="inlineStr">
        <is>
          <t>área × espesor(0.15m)</t>
        </is>
      </c>
    </row>
    <row r="16">
      <c r="A16" s="248" t="inlineStr">
        <is>
          <t>2. NO CUBICADO — Requiere estudio específico o suma alzada del contratista</t>
        </is>
      </c>
    </row>
    <row r="17">
      <c r="A17" s="249" t="inlineStr">
        <is>
          <t>Ítem licitación</t>
        </is>
      </c>
      <c r="B17" s="249" t="inlineStr">
        <is>
          <t>Unidad</t>
        </is>
      </c>
      <c r="C17" s="249" t="inlineStr">
        <is>
          <t>Razón / Recomendación</t>
        </is>
      </c>
      <c r="D17" s="251" t="n"/>
      <c r="E17" s="251" t="n"/>
      <c r="F17" s="252" t="n"/>
    </row>
    <row r="18">
      <c r="A18" s="253" t="inlineStr">
        <is>
          <t>4.x.10  Shotcrete</t>
        </is>
      </c>
      <c r="B18" s="253" t="inlineStr">
        <is>
          <t>m³</t>
        </is>
      </c>
      <c r="C18" s="254" t="inlineStr">
        <is>
          <t>Depende de clasificación RMR del terreno (geotecnia)</t>
        </is>
      </c>
      <c r="D18" s="251" t="n"/>
      <c r="E18" s="251" t="n"/>
      <c r="F18" s="252" t="n"/>
    </row>
    <row r="19">
      <c r="A19" s="253" t="inlineStr">
        <is>
          <t>4.x.11  Malla</t>
        </is>
      </c>
      <c r="B19" s="253" t="inlineStr">
        <is>
          <t>kg</t>
        </is>
      </c>
      <c r="C19" s="254" t="inlineStr">
        <is>
          <t>Diseño geotécnico — varía según tipo de suelo</t>
        </is>
      </c>
      <c r="D19" s="251" t="n"/>
      <c r="E19" s="251" t="n"/>
      <c r="F19" s="252" t="n"/>
    </row>
    <row r="20">
      <c r="A20" s="253" t="inlineStr">
        <is>
          <t>4.x.12  Pernos de convergencia</t>
        </is>
      </c>
      <c r="B20" s="253" t="inlineStr">
        <is>
          <t>und</t>
        </is>
      </c>
      <c r="C20" s="254" t="inlineStr">
        <is>
          <t>Análisis convergencia-confinamiento requerido</t>
        </is>
      </c>
      <c r="D20" s="251" t="n"/>
      <c r="E20" s="251" t="n"/>
      <c r="F20" s="252" t="n"/>
    </row>
    <row r="21">
      <c r="A21" s="253" t="inlineStr">
        <is>
          <t>4.x.4   Refuerzo Losa Anillo Fondo</t>
        </is>
      </c>
      <c r="B21" s="253" t="inlineStr">
        <is>
          <t>gl</t>
        </is>
      </c>
      <c r="C21" s="254" t="inlineStr">
        <is>
          <t>Suma alzada — cotización directa contratista</t>
        </is>
      </c>
      <c r="D21" s="251" t="n"/>
      <c r="E21" s="251" t="n"/>
      <c r="F21" s="252" t="n"/>
    </row>
    <row r="22">
      <c r="A22" s="253" t="inlineStr">
        <is>
          <t>4.x.5   Construcción Dren</t>
        </is>
      </c>
      <c r="B22" s="253" t="inlineStr">
        <is>
          <t>gl</t>
        </is>
      </c>
      <c r="C22" s="254" t="inlineStr">
        <is>
          <t>Suma alzada — cotización directa contratista</t>
        </is>
      </c>
      <c r="D22" s="251" t="n"/>
      <c r="E22" s="251" t="n"/>
      <c r="F22" s="252" t="n"/>
    </row>
    <row r="23">
      <c r="A23" s="253" t="inlineStr">
        <is>
          <t>4.x.6   Terminaciones</t>
        </is>
      </c>
      <c r="B23" s="253" t="inlineStr">
        <is>
          <t>gl</t>
        </is>
      </c>
      <c r="C23" s="254" t="inlineStr">
        <is>
          <t>Suma alzada — cotización directa contratista</t>
        </is>
      </c>
      <c r="D23" s="251" t="n"/>
      <c r="E23" s="251" t="n"/>
      <c r="F23" s="252" t="n"/>
    </row>
    <row r="24">
      <c r="A24" s="253" t="inlineStr">
        <is>
          <t>4.x.7   Cobertura pique</t>
        </is>
      </c>
      <c r="B24" s="253" t="inlineStr">
        <is>
          <t>gl</t>
        </is>
      </c>
      <c r="C24" s="254" t="inlineStr">
        <is>
          <t>Suma alzada — cotización directa contratista</t>
        </is>
      </c>
      <c r="D24" s="251" t="n"/>
      <c r="E24" s="251" t="n"/>
      <c r="F24" s="252" t="n"/>
    </row>
    <row r="25">
      <c r="A25" s="253" t="inlineStr">
        <is>
          <t>4.x.9   Refuerzo apertura</t>
        </is>
      </c>
      <c r="B25" s="253" t="inlineStr">
        <is>
          <t>gl</t>
        </is>
      </c>
      <c r="C25" s="254" t="inlineStr">
        <is>
          <t>Suma alzada — cotización directa contratista</t>
        </is>
      </c>
      <c r="D25" s="251" t="n"/>
      <c r="E25" s="251" t="n"/>
      <c r="F25" s="252" t="n"/>
    </row>
    <row r="26">
      <c r="A26" s="253" t="inlineStr">
        <is>
          <t>4.x.14  Brocal temporal</t>
        </is>
      </c>
      <c r="B26" s="253" t="inlineStr">
        <is>
          <t>gl</t>
        </is>
      </c>
      <c r="C26" s="254" t="inlineStr">
        <is>
          <t>Suma alzada — cotización directa contratista</t>
        </is>
      </c>
      <c r="D26" s="251" t="n"/>
      <c r="E26" s="251" t="n"/>
      <c r="F26" s="252" t="n"/>
    </row>
    <row r="27">
      <c r="A27" s="253" t="inlineStr">
        <is>
          <t>Sec. 2  Liner pique Ø4m + liner túnel Ø2.21m</t>
        </is>
      </c>
      <c r="B27" s="253" t="inlineStr">
        <is>
          <t>—</t>
        </is>
      </c>
      <c r="C27" s="254" t="inlineStr">
        <is>
          <t>Aporte STM: mandante suministra el material liner, contratista instala (ítems 4.x.3, 5.x.3)</t>
        </is>
      </c>
      <c r="D27" s="251" t="n"/>
      <c r="E27" s="251" t="n"/>
      <c r="F27" s="252" t="n"/>
    </row>
    <row r="28">
      <c r="A28" s="253" t="inlineStr">
        <is>
          <t>Sec. 2  Escalas y plataformas (estructura)</t>
        </is>
      </c>
      <c r="B28" s="253" t="inlineStr">
        <is>
          <t>—</t>
        </is>
      </c>
      <c r="C28" s="254" t="inlineStr">
        <is>
          <t>Aporte STM: mandante suministra estructura, contratista monta (ítem 4.x.8)</t>
        </is>
      </c>
      <c r="D28" s="251" t="n"/>
      <c r="E28" s="251" t="n"/>
      <c r="F28" s="252" t="n"/>
    </row>
    <row r="29">
      <c r="A29" s="253" t="inlineStr">
        <is>
          <t>Sec. 2  Extractor Soler-Palau TGT/6-1409 (37kW)</t>
        </is>
      </c>
      <c r="B29" s="253" t="inlineStr">
        <is>
          <t>2 un</t>
        </is>
      </c>
      <c r="C29" s="254" t="inlineStr">
        <is>
          <t>Aporte STM: 2 extractores Ø1410mm en bocas P1 y P9. 132.000 m³/h, 200 Pa. Contratista instala. Fuente: STM38110 §3.1 + §3.14</t>
        </is>
      </c>
      <c r="D29" s="251" t="n"/>
      <c r="E29" s="251" t="n"/>
      <c r="F29" s="252" t="n"/>
    </row>
    <row r="30">
      <c r="A30" s="253" t="inlineStr">
        <is>
          <t>Sec. 2  Jet Fan S&amp;P TJHT2/4-315-CN (0.8kW)</t>
        </is>
      </c>
      <c r="B30" s="253" t="inlineStr">
        <is>
          <t>23 un</t>
        </is>
      </c>
      <c r="C30" s="254" t="inlineStr">
        <is>
          <t>Aporte STM: 23 ventiladores en tunel, 24N, 4.500 m³/h, Ø0.425m. Fan1 DM+70m a Fan23 DM+2380m, cada 105m. Fuente: STM38109 §4.5 Tabla 4.2 REV.E 28-01-2026</t>
        </is>
      </c>
      <c r="D30" s="251" t="n"/>
      <c r="E30" s="251" t="n"/>
      <c r="F30" s="252" t="n"/>
    </row>
    <row r="31">
      <c r="A31" s="253" t="inlineStr">
        <is>
          <t>Sec. 1  Actividades Previas y Coordinación</t>
        </is>
      </c>
      <c r="B31" s="253" t="inlineStr">
        <is>
          <t>gl</t>
        </is>
      </c>
      <c r="C31" s="254" t="inlineStr">
        <is>
          <t>Suma alzada — depende de empresa</t>
        </is>
      </c>
      <c r="D31" s="251" t="n"/>
      <c r="E31" s="251" t="n"/>
      <c r="F31" s="252" t="n"/>
    </row>
    <row r="32">
      <c r="A32" s="253" t="inlineStr">
        <is>
          <t>Sec. 3  Instalación de Faenas</t>
        </is>
      </c>
      <c r="B32" s="253" t="inlineStr">
        <is>
          <t>gl</t>
        </is>
      </c>
      <c r="C32" s="254" t="inlineStr">
        <is>
          <t>Suma alzada. IF SS Vitacura (STM-IF-20251009): 3 etapas (Túnel Liner / TL+OOEE / OOCC+OOEE). Contenido típico: contenedores oficinas/baños/bodega, compresor, winche, minicargador, acopio liner.</t>
        </is>
      </c>
      <c r="D32" s="251" t="n"/>
      <c r="E32" s="251" t="n"/>
      <c r="F32" s="252" t="n"/>
    </row>
    <row r="34">
      <c r="A34" s="248" t="inlineStr">
        <is>
          <t>3. PRECIOS DE REFERENCIA MERCADO CHILE 2026 (estimados — solicitar cotización formal)</t>
        </is>
      </c>
    </row>
    <row r="35">
      <c r="A35" s="249" t="inlineStr">
        <is>
          <t>Partida</t>
        </is>
      </c>
      <c r="B35" s="249" t="inlineStr">
        <is>
          <t>Unidad</t>
        </is>
      </c>
      <c r="C35" s="249" t="inlineStr">
        <is>
          <t>UF mín/un</t>
        </is>
      </c>
      <c r="D35" s="249" t="inlineStr">
        <is>
          <t>UF máx/un</t>
        </is>
      </c>
      <c r="E35" s="249" t="inlineStr">
        <is>
          <t>CLP mín/un (aprox)</t>
        </is>
      </c>
      <c r="F35" s="249" t="inlineStr">
        <is>
          <t>Referencia</t>
        </is>
      </c>
    </row>
    <row r="36">
      <c r="A36" s="255" t="inlineStr">
        <is>
          <t>Excavación pique Ø4m</t>
        </is>
      </c>
      <c r="B36" s="255" t="inlineStr">
        <is>
          <t>m³</t>
        </is>
      </c>
      <c r="C36" s="255" t="inlineStr">
        <is>
          <t>2.00</t>
        </is>
      </c>
      <c r="D36" s="255" t="inlineStr">
        <is>
          <t>3.50</t>
        </is>
      </c>
      <c r="E36" s="255" t="inlineStr">
        <is>
          <t>$77,000 – $134,750</t>
        </is>
      </c>
      <c r="F36" s="255" t="inlineStr">
        <is>
          <t>ONDAC 2026</t>
        </is>
      </c>
    </row>
    <row r="37">
      <c r="A37" s="255" t="inlineStr">
        <is>
          <t>Retiro excavación pique</t>
        </is>
      </c>
      <c r="B37" s="255" t="inlineStr">
        <is>
          <t>m³</t>
        </is>
      </c>
      <c r="C37" s="255" t="inlineStr">
        <is>
          <t>0.80</t>
        </is>
      </c>
      <c r="D37" s="255" t="inlineStr">
        <is>
          <t>1.50</t>
        </is>
      </c>
      <c r="E37" s="255" t="inlineStr">
        <is>
          <t>$30,800 – $57,750</t>
        </is>
      </c>
      <c r="F37" s="255" t="inlineStr">
        <is>
          <t>Mercado Santiago</t>
        </is>
      </c>
    </row>
    <row r="38">
      <c r="A38" s="255" t="inlineStr">
        <is>
          <t>Montaje liner pique Ø4m (solo inst.)</t>
        </is>
      </c>
      <c r="B38" s="255" t="inlineStr">
        <is>
          <t>m</t>
        </is>
      </c>
      <c r="C38" s="255" t="inlineStr">
        <is>
          <t>4.00</t>
        </is>
      </c>
      <c r="D38" s="255" t="inlineStr">
        <is>
          <t>8.00</t>
        </is>
      </c>
      <c r="E38" s="255" t="inlineStr">
        <is>
          <t>$154,000 – $308,000</t>
        </is>
      </c>
      <c r="F38" s="255" t="inlineStr">
        <is>
          <t>Est. mercado</t>
        </is>
      </c>
    </row>
    <row r="39">
      <c r="A39" s="255" t="inlineStr">
        <is>
          <t>Shotcrete en pique</t>
        </is>
      </c>
      <c r="B39" s="255" t="inlineStr">
        <is>
          <t>m³</t>
        </is>
      </c>
      <c r="C39" s="255" t="inlineStr">
        <is>
          <t>4.50</t>
        </is>
      </c>
      <c r="D39" s="255" t="inlineStr">
        <is>
          <t>7.00</t>
        </is>
      </c>
      <c r="E39" s="255" t="inlineStr">
        <is>
          <t>$173,250 – $269,500</t>
        </is>
      </c>
      <c r="F39" s="255" t="inlineStr">
        <is>
          <t>ONDAC 2026</t>
        </is>
      </c>
    </row>
    <row r="40">
      <c r="A40" s="255" t="inlineStr">
        <is>
          <t>Malla electrosoldada</t>
        </is>
      </c>
      <c r="B40" s="255" t="inlineStr">
        <is>
          <t>kg</t>
        </is>
      </c>
      <c r="C40" s="255" t="inlineStr">
        <is>
          <t>0.03</t>
        </is>
      </c>
      <c r="D40" s="255" t="inlineStr">
        <is>
          <t>0.05</t>
        </is>
      </c>
      <c r="E40" s="255" t="inlineStr">
        <is>
          <t>$1,155 – $1,925</t>
        </is>
      </c>
      <c r="F40" s="255" t="inlineStr">
        <is>
          <t>ONDAC 2026</t>
        </is>
      </c>
    </row>
    <row r="41">
      <c r="A41" s="255" t="inlineStr">
        <is>
          <t>Montaje escalas+plataformas</t>
        </is>
      </c>
      <c r="B41" s="255" t="inlineStr">
        <is>
          <t>gl</t>
        </is>
      </c>
      <c r="C41" s="255" t="inlineStr">
        <is>
          <t>60.00</t>
        </is>
      </c>
      <c r="D41" s="255" t="inlineStr">
        <is>
          <t>120.00</t>
        </is>
      </c>
      <c r="E41" s="255" t="inlineStr">
        <is>
          <t>$2,310,000 – $4,620,000</t>
        </is>
      </c>
      <c r="F41" s="255" t="inlineStr">
        <is>
          <t>Est. mercado/pique</t>
        </is>
      </c>
    </row>
    <row r="42">
      <c r="A42" s="255" t="inlineStr">
        <is>
          <t>Brocal definitivo</t>
        </is>
      </c>
      <c r="B42" s="255" t="inlineStr">
        <is>
          <t>gl</t>
        </is>
      </c>
      <c r="C42" s="255" t="inlineStr">
        <is>
          <t>80.00</t>
        </is>
      </c>
      <c r="D42" s="255" t="inlineStr">
        <is>
          <t>150.00</t>
        </is>
      </c>
      <c r="E42" s="255" t="inlineStr">
        <is>
          <t>$3,080,000 – $5,775,000</t>
        </is>
      </c>
      <c r="F42" s="255" t="inlineStr">
        <is>
          <t>Est. mercado</t>
        </is>
      </c>
    </row>
    <row r="43">
      <c r="A43" s="255" t="inlineStr">
        <is>
          <t>Excavación túnel Ø2.21m</t>
        </is>
      </c>
      <c r="B43" s="255" t="inlineStr">
        <is>
          <t>m³</t>
        </is>
      </c>
      <c r="C43" s="255" t="inlineStr">
        <is>
          <t>3.50</t>
        </is>
      </c>
      <c r="D43" s="255" t="inlineStr">
        <is>
          <t>6.00</t>
        </is>
      </c>
      <c r="E43" s="255" t="inlineStr">
        <is>
          <t>$134,750 – $231,000</t>
        </is>
      </c>
      <c r="F43" s="255" t="inlineStr">
        <is>
          <t>ONDAC 2026 tunel urbano</t>
        </is>
      </c>
    </row>
    <row r="44">
      <c r="A44" s="255" t="inlineStr">
        <is>
          <t>Montaje liner túnel Ø2.21m</t>
        </is>
      </c>
      <c r="B44" s="255" t="inlineStr">
        <is>
          <t>m</t>
        </is>
      </c>
      <c r="C44" s="255" t="inlineStr">
        <is>
          <t>3.50</t>
        </is>
      </c>
      <c r="D44" s="255" t="inlineStr">
        <is>
          <t>6.00</t>
        </is>
      </c>
      <c r="E44" s="255" t="inlineStr">
        <is>
          <t>$134,750 – $231,000</t>
        </is>
      </c>
      <c r="F44" s="255" t="inlineStr">
        <is>
          <t>Est. instalación</t>
        </is>
      </c>
    </row>
    <row r="45">
      <c r="A45" s="255" t="inlineStr">
        <is>
          <t>Radier túnel H30</t>
        </is>
      </c>
      <c r="B45" s="255" t="inlineStr">
        <is>
          <t>m³</t>
        </is>
      </c>
      <c r="C45" s="255" t="inlineStr">
        <is>
          <t>7.00</t>
        </is>
      </c>
      <c r="D45" s="255" t="inlineStr">
        <is>
          <t>10.00</t>
        </is>
      </c>
      <c r="E45" s="255" t="inlineStr">
        <is>
          <t>$269,500 – $385,000</t>
        </is>
      </c>
      <c r="F45" s="255" t="inlineStr">
        <is>
          <t>ONDAC 2026</t>
        </is>
      </c>
    </row>
    <row r="46">
      <c r="A46" s="255" t="inlineStr">
        <is>
          <t>Extractor Soler-Palau TGT/6-1409 (37kW) — 2 un</t>
        </is>
      </c>
      <c r="B46" s="255" t="inlineStr">
        <is>
          <t>un</t>
        </is>
      </c>
      <c r="C46" s="255" t="inlineStr">
        <is>
          <t>800.00</t>
        </is>
      </c>
      <c r="D46" s="255" t="inlineStr">
        <is>
          <t>1200.00</t>
        </is>
      </c>
      <c r="E46" s="255" t="inlineStr">
        <is>
          <t>$30,800,000 – $46,200,000</t>
        </is>
      </c>
      <c r="F46" s="255" t="inlineStr">
        <is>
          <t>STM38110 §3.14 — suministro STM, instalación contratista</t>
        </is>
      </c>
    </row>
    <row r="47">
      <c r="A47" s="255" t="inlineStr">
        <is>
          <t>Jet Fan S&amp;P TJHT/2/4-315-C (1.1kW) — N un</t>
        </is>
      </c>
      <c r="B47" s="255" t="inlineStr">
        <is>
          <t>un</t>
        </is>
      </c>
      <c r="C47" s="255" t="inlineStr">
        <is>
          <t>20.00</t>
        </is>
      </c>
      <c r="D47" s="255" t="inlineStr">
        <is>
          <t>40.00</t>
        </is>
      </c>
      <c r="E47" s="255" t="inlineStr">
        <is>
          <t>$770,000 – $1,540,000</t>
        </is>
      </c>
      <c r="F47" s="255" t="inlineStr">
        <is>
          <t>STM38110 §2.12 — suministro STM, cant. pendiente STM38109</t>
        </is>
      </c>
    </row>
    <row r="49">
      <c r="A49" s="248" t="inlineStr">
        <is>
          <t>4. ANÁLISIS DE SENSATEZ — PROYECTO COMPLETO (9 piques + 8 tramos)</t>
        </is>
      </c>
    </row>
    <row r="50">
      <c r="A50" s="249" t="inlineStr">
        <is>
          <t>Partida</t>
        </is>
      </c>
      <c r="B50" s="249" t="inlineStr">
        <is>
          <t>Cant.</t>
        </is>
      </c>
      <c r="C50" s="249" t="inlineStr">
        <is>
          <t>UF/un Mín</t>
        </is>
      </c>
      <c r="D50" s="249" t="inlineStr">
        <is>
          <t>UF/un Máx</t>
        </is>
      </c>
      <c r="E50" s="249" t="inlineStr">
        <is>
          <t>Subtotal Mín (UF)</t>
        </is>
      </c>
      <c r="F50" s="249" t="inlineStr">
        <is>
          <t>Subtotal Máx (UF)</t>
        </is>
      </c>
    </row>
    <row r="51">
      <c r="A51" s="255" t="inlineStr">
        <is>
          <t>Excavación piques</t>
        </is>
      </c>
      <c r="B51" s="255" t="n">
        <v>1770.3</v>
      </c>
      <c r="C51" s="255" t="inlineStr">
        <is>
          <t>2.00</t>
        </is>
      </c>
      <c r="D51" s="255" t="inlineStr">
        <is>
          <t>3.50</t>
        </is>
      </c>
      <c r="E51" s="255" t="inlineStr">
        <is>
          <t>3,540.7</t>
        </is>
      </c>
      <c r="F51" s="255" t="inlineStr">
        <is>
          <t>6,196.2</t>
        </is>
      </c>
    </row>
    <row r="52">
      <c r="A52" s="255" t="inlineStr">
        <is>
          <t>Retiro excav. piques</t>
        </is>
      </c>
      <c r="B52" s="255" t="n">
        <v>1770.3</v>
      </c>
      <c r="C52" s="255" t="inlineStr">
        <is>
          <t>0.80</t>
        </is>
      </c>
      <c r="D52" s="255" t="inlineStr">
        <is>
          <t>1.50</t>
        </is>
      </c>
      <c r="E52" s="255" t="inlineStr">
        <is>
          <t>1,416.3</t>
        </is>
      </c>
      <c r="F52" s="255" t="inlineStr">
        <is>
          <t>2,655.5</t>
        </is>
      </c>
    </row>
    <row r="53">
      <c r="A53" s="255" t="inlineStr">
        <is>
          <t>Montaje liner piques</t>
        </is>
      </c>
      <c r="B53" s="255" t="n">
        <v>140.9</v>
      </c>
      <c r="C53" s="255" t="inlineStr">
        <is>
          <t>4.00</t>
        </is>
      </c>
      <c r="D53" s="255" t="inlineStr">
        <is>
          <t>8.00</t>
        </is>
      </c>
      <c r="E53" s="255" t="inlineStr">
        <is>
          <t>563.6</t>
        </is>
      </c>
      <c r="F53" s="255" t="inlineStr">
        <is>
          <t>1,127.2</t>
        </is>
      </c>
    </row>
    <row r="54">
      <c r="A54" s="255" t="inlineStr">
        <is>
          <t>Montaje escalas+plataformas</t>
        </is>
      </c>
      <c r="B54" s="255" t="n">
        <v>9</v>
      </c>
      <c r="C54" s="255" t="inlineStr">
        <is>
          <t>60.00</t>
        </is>
      </c>
      <c r="D54" s="255" t="inlineStr">
        <is>
          <t>120.00</t>
        </is>
      </c>
      <c r="E54" s="255" t="inlineStr">
        <is>
          <t>540.0</t>
        </is>
      </c>
      <c r="F54" s="255" t="inlineStr">
        <is>
          <t>1,080.0</t>
        </is>
      </c>
    </row>
    <row r="55">
      <c r="A55" s="255" t="inlineStr">
        <is>
          <t>Brocal definitivo</t>
        </is>
      </c>
      <c r="B55" s="255" t="n">
        <v>9</v>
      </c>
      <c r="C55" s="255" t="inlineStr">
        <is>
          <t>80.00</t>
        </is>
      </c>
      <c r="D55" s="255" t="inlineStr">
        <is>
          <t>150.00</t>
        </is>
      </c>
      <c r="E55" s="255" t="inlineStr">
        <is>
          <t>720.0</t>
        </is>
      </c>
      <c r="F55" s="255" t="inlineStr">
        <is>
          <t>1,350.0</t>
        </is>
      </c>
    </row>
    <row r="56">
      <c r="A56" s="255" t="inlineStr">
        <is>
          <t>Excavación túnel</t>
        </is>
      </c>
      <c r="B56" s="255" t="n">
        <v>9414.200000000001</v>
      </c>
      <c r="C56" s="255" t="inlineStr">
        <is>
          <t>3.50</t>
        </is>
      </c>
      <c r="D56" s="255" t="inlineStr">
        <is>
          <t>6.00</t>
        </is>
      </c>
      <c r="E56" s="255" t="inlineStr">
        <is>
          <t>32,949.8</t>
        </is>
      </c>
      <c r="F56" s="255" t="inlineStr">
        <is>
          <t>56,485.3</t>
        </is>
      </c>
    </row>
    <row r="57">
      <c r="A57" s="255" t="inlineStr">
        <is>
          <t>Montaje liner túnel</t>
        </is>
      </c>
      <c r="B57" s="255" t="n">
        <v>2454.2</v>
      </c>
      <c r="C57" s="255" t="inlineStr">
        <is>
          <t>3.50</t>
        </is>
      </c>
      <c r="D57" s="255" t="inlineStr">
        <is>
          <t>6.00</t>
        </is>
      </c>
      <c r="E57" s="255" t="inlineStr">
        <is>
          <t>8,589.7</t>
        </is>
      </c>
      <c r="F57" s="255" t="inlineStr">
        <is>
          <t>14,725.2</t>
        </is>
      </c>
    </row>
    <row r="58">
      <c r="A58" s="255" t="inlineStr">
        <is>
          <t>Radier H30</t>
        </is>
      </c>
      <c r="B58" s="255" t="n">
        <v>813.6</v>
      </c>
      <c r="C58" s="255" t="inlineStr">
        <is>
          <t>7.00</t>
        </is>
      </c>
      <c r="D58" s="255" t="inlineStr">
        <is>
          <t>10.00</t>
        </is>
      </c>
      <c r="E58" s="255" t="inlineStr">
        <is>
          <t>5,695.1</t>
        </is>
      </c>
      <c r="F58" s="255" t="inlineStr">
        <is>
          <t>8,135.8</t>
        </is>
      </c>
    </row>
    <row r="59">
      <c r="A59" s="256" t="inlineStr">
        <is>
          <t>TOTAL ÍTEMS CUBICADOS</t>
        </is>
      </c>
      <c r="B59" s="256" t="inlineStr"/>
      <c r="C59" s="256" t="inlineStr"/>
      <c r="D59" s="256" t="inlineStr"/>
      <c r="E59" s="256" t="inlineStr">
        <is>
          <t>54,015 UF  (~$2079M CLP)</t>
        </is>
      </c>
      <c r="F59" s="256" t="inlineStr">
        <is>
          <t>91,755 UF  (~$3532M CLP)</t>
        </is>
      </c>
    </row>
    <row r="60">
      <c r="A60" s="247" t="inlineStr">
        <is>
          <t>⚠ NOTA: El rango anterior NO incluye shotcrete, malla, pernos, terminaciones, instalación de faenas ni actividades previas (Sec. 1, 3) — típicamente +30-50% adicional.</t>
        </is>
      </c>
    </row>
    <row r="62">
      <c r="A62" s="248" t="inlineStr">
        <is>
          <t>5. CANTIDADES PRE-EXISTENTES EN TEMPLATE (de la licitación original)</t>
        </is>
      </c>
    </row>
    <row r="63">
      <c r="A63" s="249" t="inlineStr">
        <is>
          <t>Ítem</t>
        </is>
      </c>
      <c r="B63" s="249" t="inlineStr">
        <is>
          <t>Descripción</t>
        </is>
      </c>
      <c r="C63" s="249" t="inlineStr">
        <is>
          <t>Unidad</t>
        </is>
      </c>
      <c r="D63" s="249" t="inlineStr">
        <is>
          <t>Cantidad original</t>
        </is>
      </c>
      <c r="E63" s="249" t="inlineStr"/>
      <c r="F63" s="249" t="inlineStr">
        <is>
          <t>Fuente</t>
        </is>
      </c>
    </row>
    <row r="64">
      <c r="A64" s="257" t="inlineStr">
        <is>
          <t>5.1.4</t>
        </is>
      </c>
      <c r="B64" s="257" t="inlineStr">
        <is>
          <t>Pernos frente fibra vidrio 4m (eventual)</t>
        </is>
      </c>
      <c r="C64" s="257" t="inlineStr">
        <is>
          <t>und</t>
        </is>
      </c>
      <c r="D64" s="257" t="n">
        <v>39.54</v>
      </c>
      <c r="F64" s="257" t="inlineStr">
        <is>
          <t>Cuadro precios STM rev.1 06/04/2026</t>
        </is>
      </c>
    </row>
    <row r="65">
      <c r="A65" s="257" t="inlineStr">
        <is>
          <t>5.1.5</t>
        </is>
      </c>
      <c r="B65" s="257" t="inlineStr">
        <is>
          <t>Shotcrete frente (eventual)</t>
        </is>
      </c>
      <c r="C65" s="257" t="inlineStr">
        <is>
          <t>m³</t>
        </is>
      </c>
      <c r="D65" s="257" t="n">
        <v>19.77</v>
      </c>
      <c r="F65" s="257" t="inlineStr">
        <is>
          <t>Cuadro precios STM rev.1 06/04/2026</t>
        </is>
      </c>
    </row>
    <row r="66">
      <c r="A66" s="257" t="inlineStr">
        <is>
          <t>5.1.6</t>
        </is>
      </c>
      <c r="B66" s="257" t="inlineStr">
        <is>
          <t>Paraguas micropilotes (eventual)</t>
        </is>
      </c>
      <c r="C66" s="257" t="inlineStr">
        <is>
          <t>und</t>
        </is>
      </c>
      <c r="D66" s="257" t="n">
        <v>24</v>
      </c>
      <c r="F66" s="257" t="inlineStr">
        <is>
          <t>Cuadro precios STM rev.1 06/04/2026</t>
        </is>
      </c>
    </row>
    <row r="67">
      <c r="A67" s="257" t="inlineStr">
        <is>
          <t>5.2.4–5.8.4</t>
        </is>
      </c>
      <c r="B67" s="257" t="inlineStr">
        <is>
          <t>Pernos frente (tramos 2-8)</t>
        </is>
      </c>
      <c r="C67" s="257" t="inlineStr">
        <is>
          <t>und</t>
        </is>
      </c>
      <c r="D67" s="257" t="inlineStr">
        <is>
          <t>36-36 por tramo</t>
        </is>
      </c>
      <c r="F67" s="257" t="inlineStr">
        <is>
          <t>Cuadro precios STM rev.1 06/04/2026</t>
        </is>
      </c>
    </row>
    <row r="68">
      <c r="A68" s="257" t="inlineStr">
        <is>
          <t>7.1</t>
        </is>
      </c>
      <c r="B68" s="257" t="inlineStr">
        <is>
          <t>Base binder asfalto</t>
        </is>
      </c>
      <c r="C68" s="257" t="inlineStr">
        <is>
          <t>m²</t>
        </is>
      </c>
      <c r="D68" s="257" t="n">
        <v>317.61</v>
      </c>
      <c r="F68" s="257" t="inlineStr">
        <is>
          <t>Cuadro precios STM rev.1 06/04/2026</t>
        </is>
      </c>
    </row>
    <row r="69">
      <c r="A69" s="257" t="inlineStr">
        <is>
          <t>7.2</t>
        </is>
      </c>
      <c r="B69" s="257" t="inlineStr">
        <is>
          <t>Base chancada CBR80</t>
        </is>
      </c>
      <c r="C69" s="257" t="inlineStr">
        <is>
          <t>m³</t>
        </is>
      </c>
      <c r="D69" s="257" t="n">
        <v>66.7</v>
      </c>
      <c r="F69" s="257" t="inlineStr">
        <is>
          <t>Cuadro precios STM rev.1 06/04/2026</t>
        </is>
      </c>
    </row>
    <row r="70">
      <c r="A70" s="257" t="inlineStr">
        <is>
          <t>7.3</t>
        </is>
      </c>
      <c r="B70" s="257" t="inlineStr">
        <is>
          <t>Calzada con tratamiento asfaltico</t>
        </is>
      </c>
      <c r="C70" s="257" t="inlineStr">
        <is>
          <t>m²</t>
        </is>
      </c>
      <c r="D70" s="257" t="n">
        <v>317.61</v>
      </c>
      <c r="F70" s="257" t="inlineStr">
        <is>
          <t>Cuadro precios STM rev.1 06/04/2026</t>
        </is>
      </c>
    </row>
    <row r="71">
      <c r="A71" s="257" t="inlineStr">
        <is>
          <t>7.5</t>
        </is>
      </c>
      <c r="B71" s="257" t="inlineStr">
        <is>
          <t>Excavación dura y transporte botadero</t>
        </is>
      </c>
      <c r="C71" s="257" t="inlineStr">
        <is>
          <t>m³</t>
        </is>
      </c>
      <c r="D71" s="257" t="n">
        <v>343.02</v>
      </c>
      <c r="F71" s="257" t="inlineStr">
        <is>
          <t>Cuadro precios STM rev.1 06/04/2026</t>
        </is>
      </c>
    </row>
    <row r="72">
      <c r="A72" s="257" t="inlineStr">
        <is>
          <t>7.10</t>
        </is>
      </c>
      <c r="B72" s="257" t="inlineStr">
        <is>
          <t>Entibación excavaciones</t>
        </is>
      </c>
      <c r="C72" s="257" t="inlineStr">
        <is>
          <t>m</t>
        </is>
      </c>
      <c r="D72" s="257" t="n">
        <v>90.75</v>
      </c>
      <c r="F72" s="257" t="inlineStr">
        <is>
          <t>Cuadro precios STM rev.1 06/04/2026</t>
        </is>
      </c>
    </row>
    <row r="73">
      <c r="A73" s="257" t="inlineStr">
        <is>
          <t>7.11</t>
        </is>
      </c>
      <c r="B73" s="257" t="inlineStr">
        <is>
          <t>Reposición áreas verdes</t>
        </is>
      </c>
      <c r="C73" s="257" t="inlineStr">
        <is>
          <t>m²</t>
        </is>
      </c>
      <c r="D73" s="257" t="n">
        <v>60</v>
      </c>
      <c r="F73" s="257" t="inlineStr">
        <is>
          <t>Cuadro precios STM rev.1 06/04/2026</t>
        </is>
      </c>
    </row>
    <row r="74">
      <c r="A74" s="257" t="inlineStr">
        <is>
          <t>7.12</t>
        </is>
      </c>
      <c r="B74" s="257" t="inlineStr">
        <is>
          <t>Reposición soleras</t>
        </is>
      </c>
      <c r="C74" s="257" t="inlineStr">
        <is>
          <t>m</t>
        </is>
      </c>
      <c r="D74" s="257" t="n">
        <v>40</v>
      </c>
      <c r="F74" s="257" t="inlineStr">
        <is>
          <t>Cuadro precios STM rev.1 06/04/2026</t>
        </is>
      </c>
    </row>
    <row r="75">
      <c r="A75" s="257" t="inlineStr">
        <is>
          <t>7.13</t>
        </is>
      </c>
      <c r="B75" s="257" t="inlineStr">
        <is>
          <t>Demolición y reposición veredas</t>
        </is>
      </c>
      <c r="C75" s="257" t="inlineStr">
        <is>
          <t>m²</t>
        </is>
      </c>
      <c r="D75" s="257" t="n">
        <v>20</v>
      </c>
      <c r="F75" s="257" t="inlineStr">
        <is>
          <t>Cuadro precios STM rev.1 06/04/2026</t>
        </is>
      </c>
    </row>
    <row r="76">
      <c r="A76" s="257" t="inlineStr">
        <is>
          <t>13.2</t>
        </is>
      </c>
      <c r="B76" s="257" t="inlineStr">
        <is>
          <t>Retiro y transporte aguas efluentes</t>
        </is>
      </c>
      <c r="C76" s="257" t="inlineStr">
        <is>
          <t>m³</t>
        </is>
      </c>
      <c r="D76" s="257" t="n">
        <v>1000</v>
      </c>
      <c r="F76" s="257" t="inlineStr">
        <is>
          <t>Cuadro precios STM rev.1 06/04/2026</t>
        </is>
      </c>
    </row>
  </sheetData>
  <mergeCells count="39">
    <mergeCell ref="A16:F16"/>
    <mergeCell ref="E70"/>
    <mergeCell ref="C17:F17"/>
    <mergeCell ref="C23:F23"/>
    <mergeCell ref="E76"/>
    <mergeCell ref="E72"/>
    <mergeCell ref="C32:F32"/>
    <mergeCell ref="A3:F3"/>
    <mergeCell ref="C19:F19"/>
    <mergeCell ref="E66"/>
    <mergeCell ref="C28:F28"/>
    <mergeCell ref="E75"/>
    <mergeCell ref="A2:F2"/>
    <mergeCell ref="C18:F18"/>
    <mergeCell ref="A5:F5"/>
    <mergeCell ref="E68"/>
    <mergeCell ref="C30:F30"/>
    <mergeCell ref="E71"/>
    <mergeCell ref="A62:F62"/>
    <mergeCell ref="C24:F24"/>
    <mergeCell ref="E67"/>
    <mergeCell ref="E73"/>
    <mergeCell ref="E64"/>
    <mergeCell ref="C20:F20"/>
    <mergeCell ref="C26:F26"/>
    <mergeCell ref="C29:F29"/>
    <mergeCell ref="A34:F34"/>
    <mergeCell ref="E63"/>
    <mergeCell ref="C25:F25"/>
    <mergeCell ref="C22:F22"/>
    <mergeCell ref="A49:F49"/>
    <mergeCell ref="E69"/>
    <mergeCell ref="C31:F31"/>
    <mergeCell ref="E65"/>
    <mergeCell ref="A60:F60"/>
    <mergeCell ref="E74"/>
    <mergeCell ref="A1:F1"/>
    <mergeCell ref="C21:F21"/>
    <mergeCell ref="C27:F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cols>
    <col width="5" customWidth="1" min="1" max="1"/>
    <col width="35" customWidth="1" min="2" max="2"/>
    <col width="38" customWidth="1" min="3" max="3"/>
    <col width="18" customWidth="1" min="4" max="4"/>
    <col width="18" customWidth="1" min="5" max="5"/>
    <col width="38" customWidth="1" min="6" max="6"/>
  </cols>
  <sheetData>
    <row r="1" ht="22" customHeight="1">
      <c r="A1" s="258" t="inlineStr">
        <is>
          <t>MEMORIA DE CÁLCULO — TÚNEL LAT 2×110 kV VITACURA-PROVIDENCIA</t>
        </is>
      </c>
    </row>
    <row r="2">
      <c r="A2" s="259" t="inlineStr">
        <is>
          <t>Documento generado: 2026-05-19 | Licitación: 2025-25-TX-SS-RM | Mandante: STM</t>
        </is>
      </c>
    </row>
    <row r="4">
      <c r="A4" s="248" t="inlineStr">
        <is>
          <t>1. CONSTANTES GEOMÉTRICAS</t>
        </is>
      </c>
    </row>
    <row r="5">
      <c r="A5" s="249" t="inlineStr">
        <is>
          <t>#</t>
        </is>
      </c>
      <c r="B5" s="249" t="inlineStr">
        <is>
          <t>Constante</t>
        </is>
      </c>
      <c r="C5" s="249" t="inlineStr">
        <is>
          <t>Fórmula</t>
        </is>
      </c>
      <c r="D5" s="249" t="inlineStr">
        <is>
          <t>Valor</t>
        </is>
      </c>
      <c r="E5" s="249" t="inlineStr">
        <is>
          <t>Unidad</t>
        </is>
      </c>
      <c r="F5" s="249" t="inlineStr">
        <is>
          <t>Fuente</t>
        </is>
      </c>
    </row>
    <row r="6">
      <c r="A6" s="255" t="inlineStr">
        <is>
          <t>1.1</t>
        </is>
      </c>
      <c r="B6" s="255" t="inlineStr">
        <is>
          <t>Área sección pique</t>
        </is>
      </c>
      <c r="C6" s="255" t="inlineStr">
        <is>
          <t>π × r² = π × (4.0/2)²</t>
        </is>
      </c>
      <c r="D6" s="255" t="inlineStr">
        <is>
          <t>12.5664</t>
        </is>
      </c>
      <c r="E6" s="255" t="inlineStr">
        <is>
          <t>m²</t>
        </is>
      </c>
      <c r="F6" s="255" t="inlineStr">
        <is>
          <t>STM38136 Ø interior pique</t>
        </is>
      </c>
    </row>
    <row r="7">
      <c r="A7" s="255" t="inlineStr">
        <is>
          <t>1.2</t>
        </is>
      </c>
      <c r="B7" s="255" t="inlineStr">
        <is>
          <t>Área sección túnel liner</t>
        </is>
      </c>
      <c r="C7" s="255" t="inlineStr">
        <is>
          <t>π × r² = π × (2.21/2)²</t>
        </is>
      </c>
      <c r="D7" s="255" t="inlineStr">
        <is>
          <t>3.8359</t>
        </is>
      </c>
      <c r="E7" s="255" t="inlineStr">
        <is>
          <t>m²</t>
        </is>
      </c>
      <c r="F7" s="255" t="inlineStr">
        <is>
          <t>STM38136 Ø interior liner</t>
        </is>
      </c>
    </row>
    <row r="8">
      <c r="A8" s="255" t="inlineStr">
        <is>
          <t>1.3</t>
        </is>
      </c>
      <c r="B8" s="255" t="inlineStr">
        <is>
          <t>Radier H30 volumen por metro</t>
        </is>
      </c>
      <c r="C8" s="255" t="inlineStr">
        <is>
          <t>ancho × espesor = 2.21 × 0.15</t>
        </is>
      </c>
      <c r="D8" s="255" t="inlineStr">
        <is>
          <t>0.3315</t>
        </is>
      </c>
      <c r="E8" s="255" t="inlineStr">
        <is>
          <t>m³/m</t>
        </is>
      </c>
      <c r="F8" s="255" t="inlineStr">
        <is>
          <t>Diseño estructural radier túnel</t>
        </is>
      </c>
    </row>
    <row r="9">
      <c r="A9" s="255" t="inlineStr">
        <is>
          <t>1.4</t>
        </is>
      </c>
      <c r="B9" s="255" t="inlineStr">
        <is>
          <t>Diámetro fundación pique</t>
        </is>
      </c>
      <c r="C9" s="255" t="inlineStr">
        <is>
          <t>4.20 m externo</t>
        </is>
      </c>
      <c r="D9" s="255" t="inlineStr">
        <is>
          <t>4.20</t>
        </is>
      </c>
      <c r="E9" s="255" t="inlineStr">
        <is>
          <t>m</t>
        </is>
      </c>
      <c r="F9" s="255" t="inlineStr">
        <is>
          <t>STM38020 detalle típico</t>
        </is>
      </c>
    </row>
    <row r="10">
      <c r="A10" s="255" t="inlineStr">
        <is>
          <t>1.5</t>
        </is>
      </c>
      <c r="B10" s="255" t="inlineStr">
        <is>
          <t>Espesor liner acero A-36</t>
        </is>
      </c>
      <c r="C10" s="255" t="inlineStr">
        <is>
          <t>5 mm</t>
        </is>
      </c>
      <c r="D10" s="255" t="inlineStr">
        <is>
          <t>0.005</t>
        </is>
      </c>
      <c r="E10" s="255" t="inlineStr">
        <is>
          <t>m</t>
        </is>
      </c>
      <c r="F10" s="255" t="inlineStr">
        <is>
          <t>STM38019 §5.1 modelo TL</t>
        </is>
      </c>
    </row>
    <row r="11">
      <c r="A11" s="255" t="inlineStr">
        <is>
          <t>1.6</t>
        </is>
      </c>
      <c r="B11" s="255" t="inlineStr">
        <is>
          <t>Espesor revestimiento estándar</t>
        </is>
      </c>
      <c r="C11" s="255" t="inlineStr">
        <is>
          <t>Liner 5mm + Shotcrete G-30 95mm</t>
        </is>
      </c>
      <c r="D11" s="255" t="inlineStr">
        <is>
          <t>0.10</t>
        </is>
      </c>
      <c r="E11" s="255" t="inlineStr">
        <is>
          <t>m</t>
        </is>
      </c>
      <c r="F11" s="255" t="inlineStr">
        <is>
          <t>STM38019 §5.1 (pp.17)</t>
        </is>
      </c>
    </row>
    <row r="12">
      <c r="A12" s="255" t="inlineStr">
        <is>
          <t>1.7</t>
        </is>
      </c>
      <c r="B12" s="255" t="inlineStr">
        <is>
          <t>Espesor zona reforzada (apertura ojo demolición)</t>
        </is>
      </c>
      <c r="C12" s="255" t="inlineStr">
        <is>
          <t>Liner + Shotcrete + 2do revestimiento</t>
        </is>
      </c>
      <c r="D12" s="255" t="inlineStr">
        <is>
          <t>0.20</t>
        </is>
      </c>
      <c r="E12" s="255" t="inlineStr">
        <is>
          <t>m</t>
        </is>
      </c>
      <c r="F12" s="255" t="inlineStr">
        <is>
          <t>STM38019 §5.1</t>
        </is>
      </c>
    </row>
    <row r="13">
      <c r="A13" s="255" t="inlineStr">
        <is>
          <t>1.8</t>
        </is>
      </c>
      <c r="B13" s="255" t="inlineStr">
        <is>
          <t>Avance por anillo (pique y túnel)</t>
        </is>
      </c>
      <c r="C13" s="255" t="inlineStr">
        <is>
          <t>Excavación + instalación liner secuencial</t>
        </is>
      </c>
      <c r="D13" s="255" t="inlineStr">
        <is>
          <t>0.46</t>
        </is>
      </c>
      <c r="E13" s="255" t="inlineStr">
        <is>
          <t>m</t>
        </is>
      </c>
      <c r="F13" s="255" t="inlineStr">
        <is>
          <t>STM38019 §5.1 Tabla 5</t>
        </is>
      </c>
    </row>
    <row r="15">
      <c r="A15" s="248" t="inlineStr">
        <is>
          <t>2. PROFUNDIDADES DE PIQUES — NV terreno - NV invert liner</t>
        </is>
      </c>
    </row>
    <row r="16">
      <c r="A16" s="249" t="inlineStr">
        <is>
          <t>Pique</t>
        </is>
      </c>
      <c r="B16" s="249" t="inlineStr">
        <is>
          <t>NV terreno (m.s.n.m)</t>
        </is>
      </c>
      <c r="C16" s="249" t="inlineStr">
        <is>
          <t>NV liner invert (m.s.n.m)</t>
        </is>
      </c>
      <c r="D16" s="249" t="inlineStr">
        <is>
          <t>Profundidad (m)</t>
        </is>
      </c>
      <c r="E16" s="249" t="inlineStr">
        <is>
          <t>Excavación (m³)</t>
        </is>
      </c>
      <c r="F16" s="249" t="inlineStr">
        <is>
          <t>Fuente plano</t>
        </is>
      </c>
    </row>
    <row r="17">
      <c r="A17" s="250" t="inlineStr">
        <is>
          <t>P1</t>
        </is>
      </c>
      <c r="B17" s="250" t="inlineStr">
        <is>
          <t>625.06</t>
        </is>
      </c>
      <c r="C17" s="250" t="inlineStr">
        <is>
          <t>604.97</t>
        </is>
      </c>
      <c r="D17" s="250" t="inlineStr">
        <is>
          <t>20.09</t>
        </is>
      </c>
      <c r="E17" s="250" t="n">
        <v>252.46</v>
      </c>
      <c r="F17" s="250" t="inlineStr">
        <is>
          <t>STM38020</t>
        </is>
      </c>
    </row>
    <row r="18">
      <c r="A18" s="250" t="inlineStr">
        <is>
          <t>P2</t>
        </is>
      </c>
      <c r="B18" s="250" t="inlineStr">
        <is>
          <t>621.50</t>
        </is>
      </c>
      <c r="C18" s="250" t="inlineStr">
        <is>
          <t>602.83</t>
        </is>
      </c>
      <c r="D18" s="250" t="inlineStr">
        <is>
          <t>18.67</t>
        </is>
      </c>
      <c r="E18" s="250" t="n">
        <v>234.61</v>
      </c>
      <c r="F18" s="250" t="inlineStr">
        <is>
          <t>STM38020</t>
        </is>
      </c>
    </row>
    <row r="19">
      <c r="A19" s="250" t="inlineStr">
        <is>
          <t>P3</t>
        </is>
      </c>
      <c r="B19" s="250" t="inlineStr">
        <is>
          <t>619.18</t>
        </is>
      </c>
      <c r="C19" s="250" t="inlineStr">
        <is>
          <t>601.88</t>
        </is>
      </c>
      <c r="D19" s="250" t="inlineStr">
        <is>
          <t>17.30</t>
        </is>
      </c>
      <c r="E19" s="250" t="n">
        <v>217.4</v>
      </c>
      <c r="F19" s="250" t="inlineStr">
        <is>
          <t>STM38020</t>
        </is>
      </c>
    </row>
    <row r="20">
      <c r="A20" s="250" t="inlineStr">
        <is>
          <t>P4</t>
        </is>
      </c>
      <c r="B20" s="250" t="inlineStr">
        <is>
          <t>612.91</t>
        </is>
      </c>
      <c r="C20" s="250" t="inlineStr">
        <is>
          <t>597.93</t>
        </is>
      </c>
      <c r="D20" s="250" t="inlineStr">
        <is>
          <t>14.98</t>
        </is>
      </c>
      <c r="E20" s="250" t="n">
        <v>188.24</v>
      </c>
      <c r="F20" s="250" t="inlineStr">
        <is>
          <t>STM38021</t>
        </is>
      </c>
    </row>
    <row r="21">
      <c r="A21" s="250" t="inlineStr">
        <is>
          <t>P5</t>
        </is>
      </c>
      <c r="B21" s="250" t="inlineStr">
        <is>
          <t>610.70</t>
        </is>
      </c>
      <c r="C21" s="250" t="inlineStr">
        <is>
          <t>595.46</t>
        </is>
      </c>
      <c r="D21" s="250" t="inlineStr">
        <is>
          <t>15.24</t>
        </is>
      </c>
      <c r="E21" s="250" t="n">
        <v>191.51</v>
      </c>
      <c r="F21" s="250" t="inlineStr">
        <is>
          <t>STM38021</t>
        </is>
      </c>
    </row>
    <row r="22">
      <c r="A22" s="250" t="inlineStr">
        <is>
          <t>P6</t>
        </is>
      </c>
      <c r="B22" s="250" t="inlineStr">
        <is>
          <t>607.39</t>
        </is>
      </c>
      <c r="C22" s="250" t="inlineStr">
        <is>
          <t>591.88</t>
        </is>
      </c>
      <c r="D22" s="250" t="inlineStr">
        <is>
          <t>15.51</t>
        </is>
      </c>
      <c r="E22" s="250" t="n">
        <v>194.9</v>
      </c>
      <c r="F22" s="250" t="inlineStr">
        <is>
          <t>STM38022</t>
        </is>
      </c>
    </row>
    <row r="23">
      <c r="A23" s="250" t="inlineStr">
        <is>
          <t>P7</t>
        </is>
      </c>
      <c r="B23" s="250" t="inlineStr">
        <is>
          <t>603.15</t>
        </is>
      </c>
      <c r="C23" s="250" t="inlineStr">
        <is>
          <t>587.53</t>
        </is>
      </c>
      <c r="D23" s="250" t="inlineStr">
        <is>
          <t>15.62</t>
        </is>
      </c>
      <c r="E23" s="250" t="n">
        <v>196.29</v>
      </c>
      <c r="F23" s="250" t="inlineStr">
        <is>
          <t>STM38022</t>
        </is>
      </c>
    </row>
    <row r="24">
      <c r="A24" s="250" t="inlineStr">
        <is>
          <t>P8</t>
        </is>
      </c>
      <c r="B24" s="250" t="inlineStr">
        <is>
          <t>599.00</t>
        </is>
      </c>
      <c r="C24" s="250" t="inlineStr">
        <is>
          <t>584.59</t>
        </is>
      </c>
      <c r="D24" s="250" t="inlineStr">
        <is>
          <t>14.41</t>
        </is>
      </c>
      <c r="E24" s="250" t="n">
        <v>181.08</v>
      </c>
      <c r="F24" s="250" t="inlineStr">
        <is>
          <t>STM38023</t>
        </is>
      </c>
    </row>
    <row r="25">
      <c r="A25" s="250" t="inlineStr">
        <is>
          <t>P9</t>
        </is>
      </c>
      <c r="B25" s="250" t="inlineStr">
        <is>
          <t>591.18</t>
        </is>
      </c>
      <c r="C25" s="250" t="inlineStr">
        <is>
          <t>582.12</t>
        </is>
      </c>
      <c r="D25" s="250" t="inlineStr">
        <is>
          <t>9.06</t>
        </is>
      </c>
      <c r="E25" s="250" t="n">
        <v>113.85</v>
      </c>
      <c r="F25" s="250" t="inlineStr">
        <is>
          <t>STM38023</t>
        </is>
      </c>
    </row>
    <row r="26">
      <c r="A26" s="247" t="inlineStr">
        <is>
          <t>⚠ Discrepancia P9: STM38109 §2.4 reporta 9.67m (referencia portal vs NV terreno). Diferencia 0.61m × 12.57m² = ~7.7 m³ excavación adicional si se usa cota portal.</t>
        </is>
      </c>
    </row>
    <row r="28">
      <c r="A28" s="248" t="inlineStr">
        <is>
          <t>3. LONGITUDES DE TRAMOS — DM piques sucesivos</t>
        </is>
      </c>
    </row>
    <row r="29">
      <c r="A29" s="249" t="inlineStr">
        <is>
          <t>Tramo</t>
        </is>
      </c>
      <c r="B29" s="249" t="inlineStr">
        <is>
          <t>Entre piques</t>
        </is>
      </c>
      <c r="C29" s="249" t="inlineStr">
        <is>
          <t>DM inicio (m)</t>
        </is>
      </c>
      <c r="D29" s="249" t="inlineStr">
        <is>
          <t>DM fin (m)</t>
        </is>
      </c>
      <c r="E29" s="249" t="inlineStr">
        <is>
          <t>Longitud (m)</t>
        </is>
      </c>
      <c r="F29" s="249" t="inlineStr">
        <is>
          <t>Fuente plano</t>
        </is>
      </c>
    </row>
    <row r="30">
      <c r="A30" s="250" t="inlineStr">
        <is>
          <t>T1</t>
        </is>
      </c>
      <c r="B30" s="250" t="inlineStr">
        <is>
          <t>P1-P2</t>
        </is>
      </c>
      <c r="C30" s="250" t="inlineStr">
        <is>
          <t>0.0</t>
        </is>
      </c>
      <c r="D30" s="250" t="inlineStr">
        <is>
          <t>389.0</t>
        </is>
      </c>
      <c r="E30" s="250" t="inlineStr">
        <is>
          <t>389.0</t>
        </is>
      </c>
      <c r="F30" s="250" t="inlineStr">
        <is>
          <t>STM38020</t>
        </is>
      </c>
    </row>
    <row r="31">
      <c r="A31" s="250" t="inlineStr">
        <is>
          <t>T2</t>
        </is>
      </c>
      <c r="B31" s="250" t="inlineStr">
        <is>
          <t>P2-P3</t>
        </is>
      </c>
      <c r="C31" s="250" t="inlineStr">
        <is>
          <t>389.0</t>
        </is>
      </c>
      <c r="D31" s="250" t="inlineStr">
        <is>
          <t>560.6</t>
        </is>
      </c>
      <c r="E31" s="250" t="inlineStr">
        <is>
          <t>171.6</t>
        </is>
      </c>
      <c r="F31" s="250" t="inlineStr">
        <is>
          <t>STM38020</t>
        </is>
      </c>
    </row>
    <row r="32">
      <c r="A32" s="250" t="inlineStr">
        <is>
          <t>T3</t>
        </is>
      </c>
      <c r="B32" s="250" t="inlineStr">
        <is>
          <t>P3-P4</t>
        </is>
      </c>
      <c r="C32" s="250" t="inlineStr">
        <is>
          <t>560.6</t>
        </is>
      </c>
      <c r="D32" s="250" t="inlineStr">
        <is>
          <t>955.7</t>
        </is>
      </c>
      <c r="E32" s="250" t="inlineStr">
        <is>
          <t>395.1</t>
        </is>
      </c>
      <c r="F32" s="250" t="inlineStr">
        <is>
          <t>STM38020</t>
        </is>
      </c>
    </row>
    <row r="33">
      <c r="A33" s="250" t="inlineStr">
        <is>
          <t>T4</t>
        </is>
      </c>
      <c r="B33" s="250" t="inlineStr">
        <is>
          <t>P4-P5</t>
        </is>
      </c>
      <c r="C33" s="250" t="inlineStr">
        <is>
          <t>955.7</t>
        </is>
      </c>
      <c r="D33" s="250" t="inlineStr">
        <is>
          <t>1161.6</t>
        </is>
      </c>
      <c r="E33" s="250" t="inlineStr">
        <is>
          <t>205.9</t>
        </is>
      </c>
      <c r="F33" s="250" t="inlineStr">
        <is>
          <t>STM38021</t>
        </is>
      </c>
    </row>
    <row r="34">
      <c r="A34" s="250" t="inlineStr">
        <is>
          <t>T5</t>
        </is>
      </c>
      <c r="B34" s="250" t="inlineStr">
        <is>
          <t>P5-P6</t>
        </is>
      </c>
      <c r="C34" s="250" t="inlineStr">
        <is>
          <t>1161.6</t>
        </is>
      </c>
      <c r="D34" s="250" t="inlineStr">
        <is>
          <t>1459.4</t>
        </is>
      </c>
      <c r="E34" s="250" t="inlineStr">
        <is>
          <t>297.8</t>
        </is>
      </c>
      <c r="F34" s="250" t="inlineStr">
        <is>
          <t>STM38021</t>
        </is>
      </c>
    </row>
    <row r="35">
      <c r="A35" s="250" t="inlineStr">
        <is>
          <t>T6</t>
        </is>
      </c>
      <c r="B35" s="250" t="inlineStr">
        <is>
          <t>P6-P7</t>
        </is>
      </c>
      <c r="C35" s="250" t="inlineStr">
        <is>
          <t>1459.4</t>
        </is>
      </c>
      <c r="D35" s="250" t="inlineStr">
        <is>
          <t>1777.4</t>
        </is>
      </c>
      <c r="E35" s="250" t="inlineStr">
        <is>
          <t>318.0</t>
        </is>
      </c>
      <c r="F35" s="250" t="inlineStr">
        <is>
          <t>STM38022</t>
        </is>
      </c>
    </row>
    <row r="36">
      <c r="A36" s="250" t="inlineStr">
        <is>
          <t>T7</t>
        </is>
      </c>
      <c r="B36" s="250" t="inlineStr">
        <is>
          <t>P7-P8</t>
        </is>
      </c>
      <c r="C36" s="250" t="inlineStr">
        <is>
          <t>1777.4</t>
        </is>
      </c>
      <c r="D36" s="250" t="inlineStr">
        <is>
          <t>2145.1</t>
        </is>
      </c>
      <c r="E36" s="250" t="inlineStr">
        <is>
          <t>367.7</t>
        </is>
      </c>
      <c r="F36" s="250" t="inlineStr">
        <is>
          <t>STM38022</t>
        </is>
      </c>
    </row>
    <row r="37">
      <c r="A37" s="250" t="inlineStr">
        <is>
          <t>T8</t>
        </is>
      </c>
      <c r="B37" s="250" t="inlineStr">
        <is>
          <t>P8-P9</t>
        </is>
      </c>
      <c r="C37" s="250" t="inlineStr">
        <is>
          <t>2145.1</t>
        </is>
      </c>
      <c r="D37" s="250" t="inlineStr">
        <is>
          <t>2454.2</t>
        </is>
      </c>
      <c r="E37" s="250" t="inlineStr">
        <is>
          <t>309.1</t>
        </is>
      </c>
      <c r="F37" s="250" t="inlineStr">
        <is>
          <t>STM38023</t>
        </is>
      </c>
    </row>
    <row r="39">
      <c r="A39" s="248" t="inlineStr">
        <is>
          <t>4. FÓRMULAS POR PARTIDA</t>
        </is>
      </c>
    </row>
    <row r="40">
      <c r="A40" s="249" t="inlineStr">
        <is>
          <t>#</t>
        </is>
      </c>
      <c r="B40" s="249" t="inlineStr">
        <is>
          <t>Partida</t>
        </is>
      </c>
      <c r="C40" s="249" t="inlineStr">
        <is>
          <t>Fórmula aplicada</t>
        </is>
      </c>
      <c r="D40" s="249" t="inlineStr">
        <is>
          <t>Cantidad total</t>
        </is>
      </c>
      <c r="E40" s="249" t="inlineStr">
        <is>
          <t>Unidad</t>
        </is>
      </c>
      <c r="F40" s="249" t="inlineStr">
        <is>
          <t>Validación</t>
        </is>
      </c>
    </row>
    <row r="41">
      <c r="A41" s="255" t="inlineStr">
        <is>
          <t>4.1</t>
        </is>
      </c>
      <c r="B41" s="255" t="inlineStr">
        <is>
          <t>Excavación piques</t>
        </is>
      </c>
      <c r="C41" s="255" t="inlineStr">
        <is>
          <t>Σ (12.5664 m² × prof_i) para i=1..9</t>
        </is>
      </c>
      <c r="D41" s="255" t="n">
        <v>1770.34</v>
      </c>
      <c r="E41" s="255" t="inlineStr">
        <is>
          <t>m³</t>
        </is>
      </c>
      <c r="F41" s="255" t="inlineStr">
        <is>
          <t>✓ Coincide con suma manual</t>
        </is>
      </c>
    </row>
    <row r="42">
      <c r="A42" s="255" t="inlineStr">
        <is>
          <t>4.2</t>
        </is>
      </c>
      <c r="B42" s="255" t="inlineStr">
        <is>
          <t>Retiro excavación piques</t>
        </is>
      </c>
      <c r="C42" s="255">
        <f> Excavación pique (igual volumen al botadero)</f>
        <v/>
      </c>
      <c r="D42" s="255" t="n">
        <v>1770.34</v>
      </c>
      <c r="E42" s="255" t="inlineStr">
        <is>
          <t>m³</t>
        </is>
      </c>
      <c r="F42" s="255" t="inlineStr">
        <is>
          <t>✓ = Excavación</t>
        </is>
      </c>
    </row>
    <row r="43">
      <c r="A43" s="255" t="inlineStr">
        <is>
          <t>4.3</t>
        </is>
      </c>
      <c r="B43" s="255" t="inlineStr">
        <is>
          <t>Montaje liner pique</t>
        </is>
      </c>
      <c r="C43" s="255" t="inlineStr">
        <is>
          <t>Σ profundidad_i para i=1..9</t>
        </is>
      </c>
      <c r="D43" s="255" t="n">
        <v>140.9</v>
      </c>
      <c r="E43" s="255" t="inlineStr">
        <is>
          <t>m</t>
        </is>
      </c>
      <c r="F43" s="255">
        <f> longitud anillo × cantidad anillos</f>
        <v/>
      </c>
    </row>
    <row r="44">
      <c r="A44" s="255" t="inlineStr">
        <is>
          <t>4.4</t>
        </is>
      </c>
      <c r="B44" s="255" t="inlineStr">
        <is>
          <t>Refuerzo losa anillo fondo (.4)</t>
        </is>
      </c>
      <c r="C44" s="255" t="inlineStr">
        <is>
          <t>1 gl × 9 piques (suma alzada por pique)</t>
        </is>
      </c>
      <c r="D44" s="255" t="n">
        <v>9</v>
      </c>
      <c r="E44" s="255" t="inlineStr">
        <is>
          <t>gl</t>
        </is>
      </c>
      <c r="F44" s="255" t="inlineStr">
        <is>
          <t>Cant 1 gl/pique — precio cotizar</t>
        </is>
      </c>
    </row>
    <row r="45">
      <c r="A45" s="255" t="inlineStr">
        <is>
          <t>4.5</t>
        </is>
      </c>
      <c r="B45" s="255" t="inlineStr">
        <is>
          <t>Dren / Terminaciones / Cobertura / Refuerzo apertura</t>
        </is>
      </c>
      <c r="C45" s="255" t="inlineStr">
        <is>
          <t>1 gl × 9 piques cada uno (items .5, .6, .7, .9)</t>
        </is>
      </c>
      <c r="D45" s="255" t="n">
        <v>36</v>
      </c>
      <c r="E45" s="255" t="inlineStr">
        <is>
          <t>gl</t>
        </is>
      </c>
      <c r="F45" s="255" t="inlineStr">
        <is>
          <t>4 items × 9 piques = 36 gl en total</t>
        </is>
      </c>
    </row>
    <row r="46">
      <c r="A46" s="255" t="inlineStr">
        <is>
          <t>4.6</t>
        </is>
      </c>
      <c r="B46" s="255" t="inlineStr">
        <is>
          <t>Montaje escalas+plataformas (.8)</t>
        </is>
      </c>
      <c r="C46" s="255" t="inlineStr">
        <is>
          <t>1 gl × 9 piques (Aporte STM)</t>
        </is>
      </c>
      <c r="D46" s="255" t="n">
        <v>9</v>
      </c>
      <c r="E46" s="255" t="inlineStr">
        <is>
          <t>gl</t>
        </is>
      </c>
      <c r="F46" s="255" t="inlineStr">
        <is>
          <t>✓ Una unidad global por pique</t>
        </is>
      </c>
    </row>
    <row r="47">
      <c r="A47" s="255" t="inlineStr">
        <is>
          <t>4.7</t>
        </is>
      </c>
      <c r="B47" s="255" t="inlineStr">
        <is>
          <t>Estructura soporte cables SS (.13)</t>
        </is>
      </c>
      <c r="C47" s="255" t="inlineStr">
        <is>
          <t>500 kg × 2 piques (P1, P9) — estimado acero galvanizado</t>
        </is>
      </c>
      <c r="D47" s="255" t="n">
        <v>1000</v>
      </c>
      <c r="E47" s="255" t="inlineStr">
        <is>
          <t>kg</t>
        </is>
      </c>
      <c r="F47" s="255" t="inlineStr">
        <is>
          <t>Solo SS Vitacura + SS Providencia</t>
        </is>
      </c>
    </row>
    <row r="48">
      <c r="A48" s="255" t="inlineStr">
        <is>
          <t>4.8</t>
        </is>
      </c>
      <c r="B48" s="255" t="inlineStr">
        <is>
          <t>Brocal definitivo (.14 / .15)</t>
        </is>
      </c>
      <c r="C48" s="255" t="inlineStr">
        <is>
          <t>1 gl × 9 piques</t>
        </is>
      </c>
      <c r="D48" s="255" t="n">
        <v>9</v>
      </c>
      <c r="E48" s="255" t="inlineStr">
        <is>
          <t>gl</t>
        </is>
      </c>
      <c r="F48" s="255" t="inlineStr">
        <is>
          <t>P1/P9 → ítem .15; P2-8 → ítem .14</t>
        </is>
      </c>
    </row>
    <row r="49">
      <c r="A49" s="255" t="inlineStr">
        <is>
          <t>4.9</t>
        </is>
      </c>
      <c r="B49" s="255" t="inlineStr">
        <is>
          <t>Shotcrete / Malla / Pernos Conv. (.10, .11, .12)</t>
        </is>
      </c>
      <c r="C49" s="255" t="inlineStr">
        <is>
          <t>EVENTUAL — Tabla 15 STM38019 medidas auxiliares condicionales</t>
        </is>
      </c>
      <c r="D49" s="255" t="n">
        <v>0</v>
      </c>
      <c r="E49" s="255" t="inlineStr">
        <is>
          <t>—</t>
        </is>
      </c>
      <c r="F49" s="255" t="inlineStr">
        <is>
          <t>✓ Eventual: sin cantidad sistemática (Bosc.Cord. Nivel 0)</t>
        </is>
      </c>
    </row>
    <row r="50">
      <c r="A50" s="255" t="inlineStr">
        <is>
          <t>5.1</t>
        </is>
      </c>
      <c r="B50" s="255" t="inlineStr">
        <is>
          <t>Excavación túnel</t>
        </is>
      </c>
      <c r="C50" s="255" t="inlineStr">
        <is>
          <t>Σ (3.8359 m² × longitud_i) para i=1..8</t>
        </is>
      </c>
      <c r="D50" s="255" t="n">
        <v>9414.219999999999</v>
      </c>
      <c r="E50" s="255" t="inlineStr">
        <is>
          <t>m³</t>
        </is>
      </c>
      <c r="F50" s="255" t="inlineStr">
        <is>
          <t>Verifica: 3.8359 × 2454.2 = 9414.2 ✓</t>
        </is>
      </c>
    </row>
    <row r="51">
      <c r="A51" s="255" t="inlineStr">
        <is>
          <t>5.2</t>
        </is>
      </c>
      <c r="B51" s="255" t="inlineStr">
        <is>
          <t>Radier túnel H30</t>
        </is>
      </c>
      <c r="C51" s="255" t="inlineStr">
        <is>
          <t>Σ (0.3315 m³/m × longitud_i) para i=1..8</t>
        </is>
      </c>
      <c r="D51" s="255" t="n">
        <v>813.58</v>
      </c>
      <c r="E51" s="255" t="inlineStr">
        <is>
          <t>m³</t>
        </is>
      </c>
      <c r="F51" s="255" t="inlineStr">
        <is>
          <t>Verifica: 0.3315 × 2454.2 = 813.6 ✓</t>
        </is>
      </c>
    </row>
    <row r="52">
      <c r="A52" s="255" t="inlineStr">
        <is>
          <t>5.3</t>
        </is>
      </c>
      <c r="B52" s="255" t="inlineStr">
        <is>
          <t>Monitoreo de Pernos (.8)</t>
        </is>
      </c>
      <c r="C52" s="255" t="inlineStr">
        <is>
          <t>1 gl × 8 tramos</t>
        </is>
      </c>
      <c r="D52" s="255" t="n">
        <v>8</v>
      </c>
      <c r="E52" s="255" t="inlineStr">
        <is>
          <t>gl</t>
        </is>
      </c>
      <c r="F52" s="255" t="inlineStr">
        <is>
          <t>Item .8 del template (NO instalación cables)</t>
        </is>
      </c>
    </row>
    <row r="53">
      <c r="A53" s="255" t="inlineStr">
        <is>
          <t>5.4</t>
        </is>
      </c>
      <c r="B53" s="255" t="inlineStr">
        <is>
          <t>Estructura soporte cables AT túnel (.12)</t>
        </is>
      </c>
      <c r="C53" s="255" t="inlineStr">
        <is>
          <t>20 kg/ml × longitud_i para i=1..8 (acero galvanizado)</t>
        </is>
      </c>
      <c r="D53" s="255" t="n">
        <v>49084</v>
      </c>
      <c r="E53" s="255" t="inlineStr">
        <is>
          <t>kg</t>
        </is>
      </c>
      <c r="F53" s="255" t="inlineStr">
        <is>
          <t>⚠ Estimado 20 kg/ml — confirmar diseño bandejas</t>
        </is>
      </c>
    </row>
    <row r="54">
      <c r="A54" s="255" t="inlineStr">
        <is>
          <t>5.5</t>
        </is>
      </c>
      <c r="B54" s="255" t="inlineStr">
        <is>
          <t>Pernos frente / Shotcrete / Paraguas (.4, .5, .6)</t>
        </is>
      </c>
      <c r="C54" s="255" t="inlineStr">
        <is>
          <t>Cantidades del template original (eventuales)</t>
        </is>
      </c>
      <c r="D54" s="255" t="n">
        <v>0</v>
      </c>
      <c r="E54" s="255" t="inlineStr">
        <is>
          <t>—</t>
        </is>
      </c>
      <c r="F54" s="255" t="inlineStr">
        <is>
          <t>Cant 'eventual' del cuadro precios STM</t>
        </is>
      </c>
    </row>
    <row r="56">
      <c r="A56" s="248" t="inlineStr">
        <is>
          <t>5. EQUIPAMIENTO ELÉCTRICO (Aporte STM — Sección 2 licitación)</t>
        </is>
      </c>
    </row>
    <row r="57">
      <c r="A57" s="249" t="inlineStr">
        <is>
          <t>#</t>
        </is>
      </c>
      <c r="B57" s="249" t="inlineStr">
        <is>
          <t>Equipo</t>
        </is>
      </c>
      <c r="C57" s="249" t="inlineStr">
        <is>
          <t>Cantidad</t>
        </is>
      </c>
      <c r="D57" s="249" t="inlineStr">
        <is>
          <t>Modelo / specs</t>
        </is>
      </c>
      <c r="E57" s="249" t="inlineStr">
        <is>
          <t>Ubicación</t>
        </is>
      </c>
      <c r="F57" s="249" t="inlineStr">
        <is>
          <t>Fuente</t>
        </is>
      </c>
    </row>
    <row r="58">
      <c r="A58" s="250" t="inlineStr">
        <is>
          <t>5.1</t>
        </is>
      </c>
      <c r="B58" s="250" t="inlineStr">
        <is>
          <t>Jet Fan túnel</t>
        </is>
      </c>
      <c r="C58" s="250" t="inlineStr">
        <is>
          <t>23</t>
        </is>
      </c>
      <c r="D58" s="250" t="inlineStr">
        <is>
          <t>S&amp;P TJHT2/4-315-CN (0.8 kW, 24 N, 4500 m³/h)</t>
        </is>
      </c>
      <c r="E58" s="250" t="inlineStr">
        <is>
          <t>Fan1 DM+70 → Fan23 DM+2380, cada 105 m</t>
        </is>
      </c>
      <c r="F58" s="250" t="inlineStr">
        <is>
          <t>STM38109 §4.5 + Tabla 4.2 (REV.E 28-01-2026)</t>
        </is>
      </c>
    </row>
    <row r="59">
      <c r="A59" s="250" t="inlineStr">
        <is>
          <t>5.2</t>
        </is>
      </c>
      <c r="B59" s="250" t="inlineStr">
        <is>
          <t>Extractor pique</t>
        </is>
      </c>
      <c r="C59" s="250" t="inlineStr">
        <is>
          <t>2</t>
        </is>
      </c>
      <c r="D59" s="250" t="inlineStr">
        <is>
          <t>Soler-Palau TGT/6-1409 (37 kW, 132000 m³/h, Ø1409 mm)</t>
        </is>
      </c>
      <c r="E59" s="250" t="inlineStr">
        <is>
          <t>bocas P1 (SS Vitacura) y P9 (SS Providencia)</t>
        </is>
      </c>
      <c r="F59" s="250" t="inlineStr">
        <is>
          <t>STM38110 §3.1 + §3.14</t>
        </is>
      </c>
    </row>
    <row r="61">
      <c r="A61" s="248" t="inlineStr">
        <is>
          <t>6. SUPUESTOS CRÍTICOS Y VALIDACIONES PENDIENTES</t>
        </is>
      </c>
    </row>
    <row r="62">
      <c r="A62" s="249" t="inlineStr">
        <is>
          <t>#</t>
        </is>
      </c>
      <c r="B62" s="249" t="inlineStr">
        <is>
          <t>Supuesto</t>
        </is>
      </c>
      <c r="C62" s="249" t="inlineStr">
        <is>
          <t>Valor usado</t>
        </is>
      </c>
      <c r="D62" s="249" t="inlineStr">
        <is>
          <t>Origen</t>
        </is>
      </c>
      <c r="E62" s="249" t="inlineStr">
        <is>
          <t>Impacto si cambia</t>
        </is>
      </c>
      <c r="F62" s="249" t="inlineStr">
        <is>
          <t>Estado</t>
        </is>
      </c>
    </row>
    <row r="63">
      <c r="A63" s="255" t="inlineStr">
        <is>
          <t>6.1</t>
        </is>
      </c>
      <c r="B63" s="255" t="inlineStr">
        <is>
          <t>N° túneles paralelos</t>
        </is>
      </c>
      <c r="C63" s="255" t="inlineStr">
        <is>
          <t>1</t>
        </is>
      </c>
      <c r="D63" s="255" t="inlineStr">
        <is>
          <t>Diseño STM</t>
        </is>
      </c>
      <c r="E63" s="255" t="inlineStr">
        <is>
          <t>Multiplicar Sec 5 por N</t>
        </is>
      </c>
      <c r="F63" s="255" t="inlineStr">
        <is>
          <t>✓ Confirmado 1</t>
        </is>
      </c>
    </row>
    <row r="64">
      <c r="A64" s="255" t="inlineStr">
        <is>
          <t>6.2</t>
        </is>
      </c>
      <c r="B64" s="255" t="inlineStr">
        <is>
          <t>Estructura soporte cables AT túnel (5.x.12)</t>
        </is>
      </c>
      <c r="C64" s="255" t="inlineStr">
        <is>
          <t>20 kg/ml × 2454m = 49.084 kg</t>
        </is>
      </c>
      <c r="D64" s="255" t="inlineStr">
        <is>
          <t>Estimado: 6 cables LAT 2×110kV, bandejas+soportes acero galv.</t>
        </is>
      </c>
      <c r="E64" s="255" t="inlineStr">
        <is>
          <t>Si diseño real difiere → ajustar kg/ml</t>
        </is>
      </c>
      <c r="F64" s="255" t="inlineStr">
        <is>
          <t>⚠ Confirmar plano bandejas</t>
        </is>
      </c>
    </row>
    <row r="65">
      <c r="A65" s="255" t="inlineStr">
        <is>
          <t>6.3</t>
        </is>
      </c>
      <c r="B65" s="255" t="inlineStr">
        <is>
          <t>Estructura soporte cables SS (4.x.13)</t>
        </is>
      </c>
      <c r="C65" s="255" t="inlineStr">
        <is>
          <t>500 kg × 2 (P1, P9) = 1.000 kg</t>
        </is>
      </c>
      <c r="D65" s="255" t="inlineStr">
        <is>
          <t>Estimado por SS — racks, bandejas, terminales</t>
        </is>
      </c>
      <c r="E65" s="255" t="inlineStr">
        <is>
          <t>Verificar plano SS Vitacura/Providencia</t>
        </is>
      </c>
      <c r="F65" s="255" t="inlineStr">
        <is>
          <t>⚠ Estimado</t>
        </is>
      </c>
    </row>
    <row r="66">
      <c r="A66" s="255" t="inlineStr">
        <is>
          <t>6.4</t>
        </is>
      </c>
      <c r="B66" s="255" t="inlineStr">
        <is>
          <t>Profundidad P9</t>
        </is>
      </c>
      <c r="C66" s="255" t="inlineStr">
        <is>
          <t>9.06 m (NV)</t>
        </is>
      </c>
      <c r="D66" s="255" t="inlineStr">
        <is>
          <t>STM38023 vs STM38109 (9.67m)</t>
        </is>
      </c>
      <c r="E66" s="255" t="inlineStr">
        <is>
          <t>Δ excav P9 = 7.7 m³</t>
        </is>
      </c>
      <c r="F66" s="255" t="inlineStr">
        <is>
          <t>⚠ Discrepancia 0.61m</t>
        </is>
      </c>
    </row>
    <row r="67">
      <c r="A67" s="255" t="inlineStr">
        <is>
          <t>6.5</t>
        </is>
      </c>
      <c r="B67" s="255" t="inlineStr">
        <is>
          <t>Diámetro liner interior</t>
        </is>
      </c>
      <c r="C67" s="255" t="inlineStr">
        <is>
          <t>2.21 m</t>
        </is>
      </c>
      <c r="D67" s="255" t="inlineStr">
        <is>
          <t>STM38136 vs STM38109 (2.10m)</t>
        </is>
      </c>
      <c r="E67" s="255" t="inlineStr">
        <is>
          <t>Δ sección = 0.38 m² (10%)</t>
        </is>
      </c>
      <c r="F67" s="255" t="inlineStr">
        <is>
          <t>✓ 2.21m incluye espesor anillos</t>
        </is>
      </c>
    </row>
    <row r="68">
      <c r="A68" s="255" t="inlineStr">
        <is>
          <t>6.6</t>
        </is>
      </c>
      <c r="B68" s="255" t="inlineStr">
        <is>
          <t>Longitud túnel total</t>
        </is>
      </c>
      <c r="C68" s="255" t="inlineStr">
        <is>
          <t>2454.2 m</t>
        </is>
      </c>
      <c r="D68" s="255" t="inlineStr">
        <is>
          <t>STM38020-23 suma DM</t>
        </is>
      </c>
      <c r="E68" s="255" t="inlineStr">
        <is>
          <t>STM38109 redondea a 2450m</t>
        </is>
      </c>
      <c r="F68" s="255" t="inlineStr">
        <is>
          <t>✓ Diferencia 4.2m (0.17%)</t>
        </is>
      </c>
    </row>
    <row r="69">
      <c r="A69" s="255" t="inlineStr">
        <is>
          <t>6.7</t>
        </is>
      </c>
      <c r="B69" s="255" t="inlineStr">
        <is>
          <t>Cantidades 4.x.10-12 (shotcrete/malla/pernos)</t>
        </is>
      </c>
      <c r="C69" s="255" t="inlineStr">
        <is>
          <t>EVENTUAL — sin cantidad sistemática</t>
        </is>
      </c>
      <c r="D69" s="255" t="inlineStr">
        <is>
          <t>STM38019 §7+§8: Tabla 15 medidas auxiliares condicionales; Boscarding Cording Nivel 0 (deformaciones &lt;1mm)</t>
        </is>
      </c>
      <c r="E69" s="255" t="inlineStr">
        <is>
          <t>Solo se aplica si terreno lo requiere</t>
        </is>
      </c>
      <c r="F69" s="255" t="inlineStr">
        <is>
          <t>✓ Eventual confirmado</t>
        </is>
      </c>
    </row>
    <row r="70">
      <c r="A70" s="255" t="inlineStr">
        <is>
          <t>6.8</t>
        </is>
      </c>
      <c r="B70" s="255" t="inlineStr">
        <is>
          <t>Items 4.x.4-7, 4.x.9 (suma alzada)</t>
        </is>
      </c>
      <c r="C70" s="255" t="inlineStr">
        <is>
          <t>1 gl × 9 piques cada uno</t>
        </is>
      </c>
      <c r="D70" s="255" t="inlineStr">
        <is>
          <t>Refuerzo losa, dren, terminaciones, cobertura, refuerzo apertura</t>
        </is>
      </c>
      <c r="E70" s="255" t="inlineStr">
        <is>
          <t>Precios referenciales — cotizar</t>
        </is>
      </c>
      <c r="F70" s="255" t="inlineStr">
        <is>
          <t>⚠ Suma alzada</t>
        </is>
      </c>
    </row>
    <row r="71">
      <c r="A71" s="255" t="inlineStr">
        <is>
          <t>6.9</t>
        </is>
      </c>
      <c r="B71" s="255" t="inlineStr">
        <is>
          <t>Monitoreo Pernos (5.x.8)</t>
        </is>
      </c>
      <c r="C71" s="255" t="inlineStr">
        <is>
          <t>1 gl × 8 tramos</t>
        </is>
      </c>
      <c r="D71" s="255" t="inlineStr">
        <is>
          <t>Item correcto del template (NO instalación cables — bug v3)</t>
        </is>
      </c>
      <c r="E71" s="255" t="inlineStr">
        <is>
          <t>Cant 1 gl/tramo es estándar</t>
        </is>
      </c>
      <c r="F71" s="255" t="inlineStr">
        <is>
          <t>✓ Corregido v4</t>
        </is>
      </c>
    </row>
    <row r="72">
      <c r="A72" s="255" t="inlineStr">
        <is>
          <t>6.10</t>
        </is>
      </c>
      <c r="B72" s="255" t="inlineStr">
        <is>
          <t>UF referencial</t>
        </is>
      </c>
      <c r="C72" s="255" t="inlineStr">
        <is>
          <t>38.500 CLP</t>
        </is>
      </c>
      <c r="D72" s="255" t="inlineStr">
        <is>
          <t>Mayo 2026</t>
        </is>
      </c>
      <c r="E72" s="255" t="inlineStr">
        <is>
          <t>Actualizar al mes oferta</t>
        </is>
      </c>
      <c r="F72" s="255" t="inlineStr">
        <is>
          <t>✓ Configurable</t>
        </is>
      </c>
    </row>
    <row r="73">
      <c r="A73" s="255" t="inlineStr">
        <is>
          <t>6.11</t>
        </is>
      </c>
      <c r="B73" s="255" t="inlineStr">
        <is>
          <t>Altura excavación = profundidad NV</t>
        </is>
      </c>
      <c r="C73" s="255" t="inlineStr">
        <is>
          <t>Sí</t>
        </is>
      </c>
      <c r="D73" s="255" t="inlineStr">
        <is>
          <t>Convención técnica</t>
        </is>
      </c>
      <c r="E73" s="255" t="inlineStr">
        <is>
          <t>Si sump existe → +volumen</t>
        </is>
      </c>
      <c r="F73" s="255" t="inlineStr">
        <is>
          <t>⚠ STM38023 nota 'Nivel -3.50' en P9</t>
        </is>
      </c>
    </row>
    <row r="74">
      <c r="A74" s="255" t="inlineStr">
        <is>
          <t>6.12</t>
        </is>
      </c>
      <c r="B74" s="255" t="inlineStr">
        <is>
          <t>Plazo proyecto (Costos Indirectos)</t>
        </is>
      </c>
      <c r="C74" s="255" t="inlineStr">
        <is>
          <t>24 meses</t>
        </is>
      </c>
      <c r="D74" s="255" t="inlineStr">
        <is>
          <t>Estimado proyecto OOCC tunneling 2.45km + 9 piques</t>
        </is>
      </c>
      <c r="E74" s="255" t="inlineStr">
        <is>
          <t>Cada mes adicional × 1.300 UF/mes indirecto</t>
        </is>
      </c>
      <c r="F74" s="255" t="inlineStr">
        <is>
          <t>⚠ Verificar Bases Técnicas</t>
        </is>
      </c>
    </row>
    <row r="75">
      <c r="A75" s="255" t="inlineStr">
        <is>
          <t>6.13</t>
        </is>
      </c>
      <c r="B75" s="255" t="inlineStr">
        <is>
          <t>Estratigrafía (3 estratos)</t>
        </is>
      </c>
      <c r="C75" s="255" t="inlineStr">
        <is>
          <t>H1 Relleno 0-3.45m / H2 Grava 2° 3.45-7.50m / H3 Grava 1° 7.50-20m</t>
        </is>
      </c>
      <c r="D75" s="255" t="inlineStr">
        <is>
          <t>STM38019 §4.1.1 Tabla 1 — 'Gravas de Santiago'</t>
        </is>
      </c>
      <c r="E75" s="255" t="inlineStr">
        <is>
          <t>Túnel principalmente en Grava 1° (φ'=45°, c'=35 kPa)</t>
        </is>
      </c>
      <c r="F75" s="255" t="inlineStr">
        <is>
          <t>✓ Confirmado</t>
        </is>
      </c>
    </row>
    <row r="76">
      <c r="A76" s="255" t="inlineStr">
        <is>
          <t>6.14</t>
        </is>
      </c>
      <c r="B76" s="255" t="inlineStr">
        <is>
          <t>Napa freática</t>
        </is>
      </c>
      <c r="C76" s="255" t="inlineStr">
        <is>
          <t>25-35 m bajo superficie</t>
        </is>
      </c>
      <c r="D76" s="255" t="inlineStr">
        <is>
          <t>STM38019 §4.2 — bajo nivel cota túnel</t>
        </is>
      </c>
      <c r="E76" s="255" t="inlineStr">
        <is>
          <t>Túnel NO estanco — sistema captación aguas Fig 66</t>
        </is>
      </c>
      <c r="F76" s="255" t="inlineStr">
        <is>
          <t>✓ Sin presión hidrostática diseño</t>
        </is>
      </c>
    </row>
    <row r="77">
      <c r="A77" s="255" t="inlineStr">
        <is>
          <t>6.15</t>
        </is>
      </c>
      <c r="B77" s="255" t="inlineStr">
        <is>
          <t>Pernos Marchiavanti (sostenimiento bóveda)</t>
        </is>
      </c>
      <c r="C77" s="255" t="inlineStr">
        <is>
          <t>L=4m traslape 1.5m / L=2m traslape 1.0m</t>
        </is>
      </c>
      <c r="D77" s="255" t="inlineStr">
        <is>
          <t>STM38019 §7 Fig 64 — eventual según riesgo</t>
        </is>
      </c>
      <c r="E77" s="255" t="inlineStr">
        <is>
          <t>Cant. ya en template 5.x.4 + 5.9.1/5.9.2</t>
        </is>
      </c>
      <c r="F77" s="255" t="inlineStr">
        <is>
          <t>✓ Cant del mandante</t>
        </is>
      </c>
    </row>
    <row r="78">
      <c r="A78" s="255" t="inlineStr">
        <is>
          <t>6.16</t>
        </is>
      </c>
      <c r="B78" s="255" t="inlineStr">
        <is>
          <t>Boscarding Cording (afectaciones)</t>
        </is>
      </c>
      <c r="C78" s="255" t="inlineStr">
        <is>
          <t>Nivel 0 (despreciable) en TODOS los cruces</t>
        </is>
      </c>
      <c r="D78" s="255" t="inlineStr">
        <is>
          <t>STM38019 §8 — Costanera Norte, Mapocho Limpio, San Carlos, L7 Metro</t>
        </is>
      </c>
      <c r="E78" s="255" t="inlineStr">
        <is>
          <t>Sin requerimiento extra de monitoreo intensivo</t>
        </is>
      </c>
      <c r="F78" s="255" t="inlineStr">
        <is>
          <t>✓ Bajo riesgo confirmado</t>
        </is>
      </c>
    </row>
    <row r="80">
      <c r="A80" s="248" t="inlineStr">
        <is>
          <t>7. TRAZABILIDAD DE FUENTES (documentos consultados)</t>
        </is>
      </c>
    </row>
    <row r="81">
      <c r="A81" s="249" t="inlineStr">
        <is>
          <t>#</t>
        </is>
      </c>
      <c r="B81" s="249" t="inlineStr">
        <is>
          <t>Documento</t>
        </is>
      </c>
      <c r="C81" s="249" t="inlineStr">
        <is>
          <t>Revisión</t>
        </is>
      </c>
      <c r="D81" s="249" t="inlineStr">
        <is>
          <t>Datos extraídos</t>
        </is>
      </c>
      <c r="E81" s="249" t="inlineStr">
        <is>
          <t>Hoja relevante</t>
        </is>
      </c>
      <c r="F81" s="249" t="inlineStr">
        <is>
          <t>—</t>
        </is>
      </c>
    </row>
    <row r="82">
      <c r="A82" s="255" t="inlineStr">
        <is>
          <t>7.1</t>
        </is>
      </c>
      <c r="B82" s="255" t="inlineStr">
        <is>
          <t>STM38020 Planta y Perfil</t>
        </is>
      </c>
      <c r="C82" s="255" t="inlineStr">
        <is>
          <t>REV.0</t>
        </is>
      </c>
      <c r="D82" s="255" t="inlineStr">
        <is>
          <t>P1, P2, P3 NV + DM tramos T1-T3</t>
        </is>
      </c>
      <c r="E82" s="255" t="inlineStr">
        <is>
          <t>Detalle Costo Directo</t>
        </is>
      </c>
      <c r="F82" s="255" t="inlineStr"/>
    </row>
    <row r="83">
      <c r="A83" s="255" t="inlineStr">
        <is>
          <t>7.2</t>
        </is>
      </c>
      <c r="B83" s="255" t="inlineStr">
        <is>
          <t>STM38021 Planta y Perfil</t>
        </is>
      </c>
      <c r="C83" s="255" t="inlineStr">
        <is>
          <t>REV.0</t>
        </is>
      </c>
      <c r="D83" s="255" t="inlineStr">
        <is>
          <t>P4, P5 NV + DM tramos T3-T5</t>
        </is>
      </c>
      <c r="E83" s="255" t="inlineStr">
        <is>
          <t>Detalle Costo Directo</t>
        </is>
      </c>
      <c r="F83" s="255" t="inlineStr"/>
    </row>
    <row r="84">
      <c r="A84" s="255" t="inlineStr">
        <is>
          <t>7.3</t>
        </is>
      </c>
      <c r="B84" s="255" t="inlineStr">
        <is>
          <t>STM38022 Planta y Perfil</t>
        </is>
      </c>
      <c r="C84" s="255" t="inlineStr">
        <is>
          <t>REV.0</t>
        </is>
      </c>
      <c r="D84" s="255" t="inlineStr">
        <is>
          <t>P6, P7 NV + DM tramos T5-T7</t>
        </is>
      </c>
      <c r="E84" s="255" t="inlineStr">
        <is>
          <t>Detalle Costo Directo</t>
        </is>
      </c>
      <c r="F84" s="255" t="inlineStr"/>
    </row>
    <row r="85">
      <c r="A85" s="255" t="inlineStr">
        <is>
          <t>7.4</t>
        </is>
      </c>
      <c r="B85" s="255" t="inlineStr">
        <is>
          <t>STM38023 Planta y Perfil</t>
        </is>
      </c>
      <c r="C85" s="255" t="inlineStr">
        <is>
          <t>REV.0</t>
        </is>
      </c>
      <c r="D85" s="255" t="inlineStr">
        <is>
          <t>P8, P9 NV + DM tramos T7-T8</t>
        </is>
      </c>
      <c r="E85" s="255" t="inlineStr">
        <is>
          <t>Detalle Costo Directo</t>
        </is>
      </c>
      <c r="F85" s="255" t="inlineStr"/>
    </row>
    <row r="86">
      <c r="A86" s="255" t="inlineStr">
        <is>
          <t>7.5</t>
        </is>
      </c>
      <c r="B86" s="255" t="inlineStr">
        <is>
          <t>STM38109 Memoria Ventilación</t>
        </is>
      </c>
      <c r="C86" s="255" t="inlineStr">
        <is>
          <t>REV.E 28-01-2026</t>
        </is>
      </c>
      <c r="D86" s="255" t="inlineStr">
        <is>
          <t>23 jet fans S&amp;P TJHT2/4-315-CN, ubicación Tabla 4.2</t>
        </is>
      </c>
      <c r="E86" s="255" t="inlineStr">
        <is>
          <t>Sec 5 supuestos</t>
        </is>
      </c>
      <c r="F86" s="255" t="inlineStr"/>
    </row>
    <row r="87">
      <c r="A87" s="255" t="inlineStr">
        <is>
          <t>7.6</t>
        </is>
      </c>
      <c r="B87" s="255" t="inlineStr">
        <is>
          <t>STM38110 ETP Equipos Ventilación</t>
        </is>
      </c>
      <c r="C87" s="255" t="inlineStr">
        <is>
          <t>REV.0 14-11-2025</t>
        </is>
      </c>
      <c r="D87" s="255" t="inlineStr">
        <is>
          <t>2 extractores Soler-Palau TGT/6-1409, modelo jet fan</t>
        </is>
      </c>
      <c r="E87" s="255" t="inlineStr">
        <is>
          <t>Sec 5 supuestos</t>
        </is>
      </c>
      <c r="F87" s="255" t="inlineStr"/>
    </row>
    <row r="88">
      <c r="A88" s="255" t="inlineStr">
        <is>
          <t>7.7</t>
        </is>
      </c>
      <c r="B88" s="255" t="inlineStr">
        <is>
          <t>STM38019 Informe No-Afecciones (NATM, FLAC3D)</t>
        </is>
      </c>
      <c r="C88" s="255" t="inlineStr">
        <is>
          <t>REV.0 15-01-2026</t>
        </is>
      </c>
      <c r="D88" s="255" t="inlineStr">
        <is>
          <t>Estratigrafía H1-H3 + Parámetros geotécnicos + Espesor revestimiento (10cm estándar, 20cm reforzado) + Avance 0.46m + Tabla 15 medidas eventuales + Boscarding Cording Nivel 0</t>
        </is>
      </c>
      <c r="E88" s="255" t="inlineStr">
        <is>
          <t>Sec 1 constantes + Sec 6 supuestos</t>
        </is>
      </c>
      <c r="F88" s="255" t="inlineStr"/>
    </row>
    <row r="89">
      <c r="A89" s="255" t="inlineStr">
        <is>
          <t>7.8</t>
        </is>
      </c>
      <c r="B89" s="255" t="inlineStr">
        <is>
          <t>STM38136 Planos eléctricos</t>
        </is>
      </c>
      <c r="C89" s="255" t="inlineStr">
        <is>
          <t>REV.1 06/04/2026</t>
        </is>
      </c>
      <c r="D89" s="255" t="inlineStr">
        <is>
          <t>Ø interior pique 4.0m, Ø interior liner 2.21m</t>
        </is>
      </c>
      <c r="E89" s="255" t="inlineStr">
        <is>
          <t>Sec 1 constantes</t>
        </is>
      </c>
      <c r="F89" s="255" t="inlineStr"/>
    </row>
    <row r="90">
      <c r="A90" s="255" t="inlineStr">
        <is>
          <t>7.9</t>
        </is>
      </c>
      <c r="B90" s="255" t="inlineStr">
        <is>
          <t>BAE Licitación 2025-25-TX-SS-RM</t>
        </is>
      </c>
      <c r="C90" s="255" t="inlineStr">
        <is>
          <t>REV.0 13/04/2026</t>
        </is>
      </c>
      <c r="D90" s="255" t="inlineStr">
        <is>
          <t>Estructura items 4.x y 5.x</t>
        </is>
      </c>
      <c r="E90" s="255" t="inlineStr">
        <is>
          <t>A) Detalle</t>
        </is>
      </c>
      <c r="F90" s="255" t="inlineStr"/>
    </row>
    <row r="91">
      <c r="A91" s="255" t="inlineStr">
        <is>
          <t>7.10</t>
        </is>
      </c>
      <c r="B91" s="255" t="inlineStr">
        <is>
          <t>IF SS Vitacura</t>
        </is>
      </c>
      <c r="C91" s="255" t="inlineStr">
        <is>
          <t>20251009 (3 etapas)</t>
        </is>
      </c>
      <c r="D91" s="255" t="inlineStr">
        <is>
          <t>Composición Instalación de Faenas</t>
        </is>
      </c>
      <c r="E91" s="255" t="inlineStr">
        <is>
          <t>Sec 3 supuestos suma alzada</t>
        </is>
      </c>
      <c r="F91" s="255" t="inlineStr"/>
    </row>
    <row r="93">
      <c r="A93" s="248" t="inlineStr">
        <is>
          <t>8. RESUMEN TOTALES CUBICADOS</t>
        </is>
      </c>
    </row>
    <row r="94">
      <c r="A94" s="249" t="inlineStr">
        <is>
          <t>#</t>
        </is>
      </c>
      <c r="B94" s="249" t="inlineStr">
        <is>
          <t>Concepto</t>
        </is>
      </c>
      <c r="C94" s="249" t="inlineStr">
        <is>
          <t>Cantidad</t>
        </is>
      </c>
      <c r="D94" s="249" t="inlineStr">
        <is>
          <t>Unidad</t>
        </is>
      </c>
      <c r="E94" s="249" t="inlineStr">
        <is>
          <t>—</t>
        </is>
      </c>
      <c r="F94" s="249" t="inlineStr">
        <is>
          <t>—</t>
        </is>
      </c>
    </row>
    <row r="95">
      <c r="A95" s="250" t="inlineStr">
        <is>
          <t>8.1</t>
        </is>
      </c>
      <c r="B95" s="250" t="inlineStr">
        <is>
          <t>Excavación piques (suma)</t>
        </is>
      </c>
      <c r="C95" s="250" t="n">
        <v>1770.34</v>
      </c>
      <c r="D95" s="250" t="inlineStr">
        <is>
          <t>m³</t>
        </is>
      </c>
      <c r="E95" s="250" t="inlineStr"/>
      <c r="F95" s="250" t="inlineStr"/>
    </row>
    <row r="96">
      <c r="A96" s="250" t="inlineStr">
        <is>
          <t>8.2</t>
        </is>
      </c>
      <c r="B96" s="250" t="inlineStr">
        <is>
          <t>Excavación túnel (suma)</t>
        </is>
      </c>
      <c r="C96" s="250" t="n">
        <v>9414.219999999999</v>
      </c>
      <c r="D96" s="250" t="inlineStr">
        <is>
          <t>m³</t>
        </is>
      </c>
      <c r="E96" s="250" t="inlineStr"/>
      <c r="F96" s="250" t="inlineStr"/>
    </row>
    <row r="97">
      <c r="A97" s="250" t="inlineStr">
        <is>
          <t>8.3</t>
        </is>
      </c>
      <c r="B97" s="250" t="inlineStr">
        <is>
          <t>Liner pique (suma profundidades)</t>
        </is>
      </c>
      <c r="C97" s="250" t="n">
        <v>140.9</v>
      </c>
      <c r="D97" s="250" t="inlineStr">
        <is>
          <t>m</t>
        </is>
      </c>
      <c r="E97" s="250" t="inlineStr"/>
      <c r="F97" s="250" t="inlineStr"/>
    </row>
    <row r="98">
      <c r="A98" s="250" t="inlineStr">
        <is>
          <t>8.4</t>
        </is>
      </c>
      <c r="B98" s="250" t="inlineStr">
        <is>
          <t>Liner túnel (longitud total)</t>
        </is>
      </c>
      <c r="C98" s="250" t="n">
        <v>2454.2</v>
      </c>
      <c r="D98" s="250" t="inlineStr">
        <is>
          <t>m</t>
        </is>
      </c>
      <c r="E98" s="250" t="inlineStr"/>
      <c r="F98" s="250" t="inlineStr"/>
    </row>
    <row r="99">
      <c r="A99" s="250" t="inlineStr">
        <is>
          <t>8.5</t>
        </is>
      </c>
      <c r="B99" s="250" t="inlineStr">
        <is>
          <t>Radier H30</t>
        </is>
      </c>
      <c r="C99" s="250" t="n">
        <v>813.58</v>
      </c>
      <c r="D99" s="250" t="inlineStr">
        <is>
          <t>m³</t>
        </is>
      </c>
      <c r="E99" s="250" t="inlineStr"/>
      <c r="F99" s="250" t="inlineStr"/>
    </row>
    <row r="100">
      <c r="A100" s="250" t="inlineStr">
        <is>
          <t>8.6</t>
        </is>
      </c>
      <c r="B100" s="250" t="inlineStr">
        <is>
          <t>Estructura soporte cables AT túnel (5.x.12)</t>
        </is>
      </c>
      <c r="C100" s="250" t="n">
        <v>49084</v>
      </c>
      <c r="D100" s="250" t="inlineStr">
        <is>
          <t>kg</t>
        </is>
      </c>
      <c r="E100" s="250" t="inlineStr">
        <is>
          <t>(20 kg/ml × 2454m)</t>
        </is>
      </c>
      <c r="F100" s="250" t="inlineStr"/>
    </row>
    <row r="101">
      <c r="A101" s="250" t="inlineStr">
        <is>
          <t>8.7</t>
        </is>
      </c>
      <c r="B101" s="250" t="inlineStr">
        <is>
          <t>Estructura soporte cables SS (4.x.13)</t>
        </is>
      </c>
      <c r="C101" s="250" t="n">
        <v>1000</v>
      </c>
      <c r="D101" s="250" t="inlineStr">
        <is>
          <t>kg</t>
        </is>
      </c>
      <c r="E101" s="250" t="inlineStr">
        <is>
          <t>(500 kg × P1+P9 = 1000 kg)</t>
        </is>
      </c>
      <c r="F101" s="250" t="inlineStr"/>
    </row>
    <row r="102">
      <c r="A102" s="250" t="inlineStr">
        <is>
          <t>8.8</t>
        </is>
      </c>
      <c r="B102" s="250" t="inlineStr">
        <is>
          <t>Escalas+plataformas</t>
        </is>
      </c>
      <c r="C102" s="250" t="n">
        <v>9</v>
      </c>
      <c r="D102" s="250" t="inlineStr">
        <is>
          <t>gl</t>
        </is>
      </c>
      <c r="E102" s="250" t="inlineStr"/>
      <c r="F102" s="250" t="inlineStr"/>
    </row>
    <row r="103">
      <c r="A103" s="250" t="inlineStr">
        <is>
          <t>8.9</t>
        </is>
      </c>
      <c r="B103" s="250" t="inlineStr">
        <is>
          <t>Brocales definitivos</t>
        </is>
      </c>
      <c r="C103" s="250" t="n">
        <v>9</v>
      </c>
      <c r="D103" s="250" t="inlineStr">
        <is>
          <t>gl</t>
        </is>
      </c>
      <c r="E103" s="250" t="inlineStr"/>
      <c r="F103" s="250" t="inlineStr"/>
    </row>
    <row r="104">
      <c r="A104" s="250" t="inlineStr">
        <is>
          <t>8.10</t>
        </is>
      </c>
      <c r="B104" s="250" t="inlineStr">
        <is>
          <t>Monitoreo de Pernos (5.x.8)</t>
        </is>
      </c>
      <c r="C104" s="250" t="n">
        <v>8</v>
      </c>
      <c r="D104" s="250" t="inlineStr">
        <is>
          <t>gl</t>
        </is>
      </c>
      <c r="E104" s="250" t="inlineStr">
        <is>
          <t>(1 gl × 8 tramos)</t>
        </is>
      </c>
      <c r="F104" s="250" t="inlineStr"/>
    </row>
    <row r="105">
      <c r="A105" s="250" t="inlineStr">
        <is>
          <t>8.11</t>
        </is>
      </c>
      <c r="B105" s="250" t="inlineStr">
        <is>
          <t>Items suma alzada piques (4.x.4-7, 4.x.9)</t>
        </is>
      </c>
      <c r="C105" s="250" t="n">
        <v>45</v>
      </c>
      <c r="D105" s="250" t="inlineStr">
        <is>
          <t>gl</t>
        </is>
      </c>
      <c r="E105" s="250" t="inlineStr">
        <is>
          <t>(5 items × 9 piques = 45 gl)</t>
        </is>
      </c>
      <c r="F105" s="250" t="inlineStr"/>
    </row>
    <row r="107">
      <c r="A107" s="248" t="inlineStr">
        <is>
          <t>9. RACIONALES COSTOS INDIRECTOS, GG Y UTILIDAD (hoja B)</t>
        </is>
      </c>
    </row>
    <row r="108">
      <c r="A108" s="249" t="inlineStr">
        <is>
          <t>#</t>
        </is>
      </c>
      <c r="B108" s="249" t="inlineStr">
        <is>
          <t>Concepto</t>
        </is>
      </c>
      <c r="C108" s="249" t="inlineStr">
        <is>
          <t>Cantidad</t>
        </is>
      </c>
      <c r="D108" s="249" t="inlineStr">
        <is>
          <t>Tiempo</t>
        </is>
      </c>
      <c r="E108" s="249" t="inlineStr">
        <is>
          <t>Precio UF/u</t>
        </is>
      </c>
      <c r="F108" s="249" t="inlineStr">
        <is>
          <t>Subtotal UF / Justificación</t>
        </is>
      </c>
    </row>
    <row r="109">
      <c r="A109" s="260" t="inlineStr">
        <is>
          <t>9.0</t>
        </is>
      </c>
      <c r="B109" s="260" t="inlineStr">
        <is>
          <t>Plazo referencial proyecto</t>
        </is>
      </c>
      <c r="C109" s="260" t="inlineStr">
        <is>
          <t>—</t>
        </is>
      </c>
      <c r="D109" s="260" t="inlineStr">
        <is>
          <t>24 meses</t>
        </is>
      </c>
      <c r="E109" s="260" t="inlineStr">
        <is>
          <t>—</t>
        </is>
      </c>
      <c r="F109" s="260" t="inlineStr">
        <is>
          <t>Estimado tunneling 2.45km — verificar Bases Técnicas</t>
        </is>
      </c>
    </row>
    <row r="110">
      <c r="A110" s="260" t="inlineStr">
        <is>
          <t>9.1</t>
        </is>
      </c>
      <c r="B110" s="260" t="inlineStr">
        <is>
          <t>Vigilancia 24h externalizada</t>
        </is>
      </c>
      <c r="C110" s="260" t="inlineStr">
        <is>
          <t>1</t>
        </is>
      </c>
      <c r="D110" s="260" t="inlineStr">
        <is>
          <t>24 m</t>
        </is>
      </c>
      <c r="E110" s="260" t="inlineStr">
        <is>
          <t>100</t>
        </is>
      </c>
      <c r="F110" s="260" t="inlineStr">
        <is>
          <t>2,400 UF — servicio integral 4 guardias rotación</t>
        </is>
      </c>
    </row>
    <row r="111">
      <c r="A111" s="260" t="inlineStr">
        <is>
          <t>9.2</t>
        </is>
      </c>
      <c r="B111" s="260" t="inlineStr">
        <is>
          <t>Personal indirecto (8 personas, sueldo UF/mes)</t>
        </is>
      </c>
      <c r="C111" s="260" t="inlineStr">
        <is>
          <t>—</t>
        </is>
      </c>
      <c r="D111" s="260" t="inlineStr">
        <is>
          <t>24 m</t>
        </is>
      </c>
      <c r="E111" s="260" t="inlineStr">
        <is>
          <t>—</t>
        </is>
      </c>
      <c r="F111" s="260" t="inlineStr">
        <is>
          <t>18,840 UF total. Admin 150, JT 120, 2×Sup 90, Prev 80, MA 70, Topo 80, Tra 55, Bod 50 UF/mes (mid-range Chile 2026)</t>
        </is>
      </c>
    </row>
    <row r="112">
      <c r="A112" s="260" t="inlineStr">
        <is>
          <t>9.3</t>
        </is>
      </c>
      <c r="B112" s="260" t="inlineStr">
        <is>
          <t>Maquinarias y vehículos</t>
        </is>
      </c>
      <c r="C112" s="260" t="inlineStr">
        <is>
          <t>—</t>
        </is>
      </c>
      <c r="D112" s="260" t="inlineStr">
        <is>
          <t>24 m</t>
        </is>
      </c>
      <c r="E112" s="260" t="inlineStr">
        <is>
          <t>—</t>
        </is>
      </c>
      <c r="F112" s="260" t="inlineStr">
        <is>
          <t>6,360 UF — 3 camionetas (35), fletes (50), andamios (30), equipos menores (80) UF/mes</t>
        </is>
      </c>
    </row>
    <row r="113">
      <c r="A113" s="260" t="inlineStr">
        <is>
          <t>9.4</t>
        </is>
      </c>
      <c r="B113" s="260" t="inlineStr">
        <is>
          <t>Disposición residuos + excedentes</t>
        </is>
      </c>
      <c r="C113" s="260" t="inlineStr">
        <is>
          <t>—</t>
        </is>
      </c>
      <c r="D113" s="260" t="inlineStr">
        <is>
          <t>24 m</t>
        </is>
      </c>
      <c r="E113" s="260" t="inlineStr">
        <is>
          <t>—</t>
        </is>
      </c>
      <c r="F113" s="260" t="inlineStr">
        <is>
          <t>4,080 UF — residuos sólidos (50), excedentes excavación (120) UF/mes</t>
        </is>
      </c>
    </row>
    <row r="114">
      <c r="A114" s="260" t="inlineStr">
        <is>
          <t>9.5</t>
        </is>
      </c>
      <c r="B114" s="260" t="inlineStr">
        <is>
          <t>TOTAL COSTOS INDIRECTOS</t>
        </is>
      </c>
      <c r="C114" s="260" t="inlineStr">
        <is>
          <t>—</t>
        </is>
      </c>
      <c r="D114" s="260" t="inlineStr">
        <is>
          <t>—</t>
        </is>
      </c>
      <c r="E114" s="260" t="inlineStr">
        <is>
          <t>—</t>
        </is>
      </c>
      <c r="F114" s="260" t="inlineStr">
        <is>
          <t>31,680 UF (≈42% del Directo) — norma 25-35% en obras civiles, 40-50% en obras especializadas tunneling</t>
        </is>
      </c>
    </row>
    <row r="115">
      <c r="A115" s="260" t="inlineStr">
        <is>
          <t>9.6</t>
        </is>
      </c>
      <c r="B115" s="260" t="inlineStr">
        <is>
          <t>GG Aporte Oficina Central</t>
        </is>
      </c>
      <c r="C115" s="260" t="inlineStr">
        <is>
          <t>1 gl</t>
        </is>
      </c>
      <c r="D115" s="260" t="inlineStr">
        <is>
          <t>—</t>
        </is>
      </c>
      <c r="E115" s="260" t="inlineStr">
        <is>
          <t>3,200</t>
        </is>
      </c>
      <c r="F115" s="260" t="inlineStr">
        <is>
          <t>≈4.4% del Directo (norma 3-6%)</t>
        </is>
      </c>
    </row>
    <row r="116">
      <c r="A116" s="260" t="inlineStr">
        <is>
          <t>9.7</t>
        </is>
      </c>
      <c r="B116" s="260" t="inlineStr">
        <is>
          <t>GG Gastos Financieros</t>
        </is>
      </c>
      <c r="C116" s="260" t="inlineStr">
        <is>
          <t>1 gl</t>
        </is>
      </c>
      <c r="D116" s="260" t="inlineStr">
        <is>
          <t>—</t>
        </is>
      </c>
      <c r="E116" s="260" t="inlineStr">
        <is>
          <t>1,800</t>
        </is>
      </c>
      <c r="F116" s="260" t="inlineStr">
        <is>
          <t>≈2.5% del Directo (intereses+factoring)</t>
        </is>
      </c>
    </row>
    <row r="117">
      <c r="A117" s="260" t="inlineStr">
        <is>
          <t>9.8</t>
        </is>
      </c>
      <c r="B117" s="260" t="inlineStr">
        <is>
          <t>GG Boletas Garantía + Seguros</t>
        </is>
      </c>
      <c r="C117" s="260" t="inlineStr">
        <is>
          <t>1 gl</t>
        </is>
      </c>
      <c r="D117" s="260" t="inlineStr">
        <is>
          <t>—</t>
        </is>
      </c>
      <c r="E117" s="260" t="inlineStr">
        <is>
          <t>1,200</t>
        </is>
      </c>
      <c r="F117" s="260" t="inlineStr">
        <is>
          <t>≈1.6% del Directo</t>
        </is>
      </c>
    </row>
    <row r="118">
      <c r="A118" s="260" t="inlineStr">
        <is>
          <t>9.9</t>
        </is>
      </c>
      <c r="B118" s="260" t="inlineStr">
        <is>
          <t>TOTAL GASTOS GENERALES</t>
        </is>
      </c>
      <c r="C118" s="260" t="inlineStr">
        <is>
          <t>—</t>
        </is>
      </c>
      <c r="D118" s="260" t="inlineStr">
        <is>
          <t>—</t>
        </is>
      </c>
      <c r="E118" s="260" t="inlineStr">
        <is>
          <t>—</t>
        </is>
      </c>
      <c r="F118" s="260" t="inlineStr">
        <is>
          <t>6,200 UF (≈8.3% del Directo) — norma 8-12%</t>
        </is>
      </c>
    </row>
    <row r="119">
      <c r="A119" s="260" t="inlineStr">
        <is>
          <t>9.10</t>
        </is>
      </c>
      <c r="B119" s="260" t="inlineStr">
        <is>
          <t>Utilidad Contratista</t>
        </is>
      </c>
      <c r="C119" s="260" t="inlineStr">
        <is>
          <t>1 gl</t>
        </is>
      </c>
      <c r="D119" s="260" t="inlineStr">
        <is>
          <t>—</t>
        </is>
      </c>
      <c r="E119" s="260" t="inlineStr">
        <is>
          <t>8,000</t>
        </is>
      </c>
      <c r="F119" s="260" t="inlineStr">
        <is>
          <t>≈11% del Directo — norma 8-12% en obras especializadas</t>
        </is>
      </c>
    </row>
    <row r="120">
      <c r="A120" s="260" t="inlineStr">
        <is>
          <t>9.11</t>
        </is>
      </c>
      <c r="B120" s="260" t="inlineStr">
        <is>
          <t>RESUMEN OFERTA</t>
        </is>
      </c>
      <c r="C120" s="260" t="inlineStr">
        <is>
          <t>Directo: 74.843 UF | Indirecto: 31.680 UF | GG: 6.200 UF | Utilidad: 8.000 UF | Neto: 120.723 UF | IVA: 22.937 UF</t>
        </is>
      </c>
      <c r="D120" s="260" t="inlineStr">
        <is>
          <t>—</t>
        </is>
      </c>
      <c r="E120" s="260" t="inlineStr">
        <is>
          <t>—</t>
        </is>
      </c>
      <c r="F120" s="260" t="inlineStr">
        <is>
          <t>TOTAL: 143.660 UF ≈ $5,531M CLP</t>
        </is>
      </c>
    </row>
    <row r="121">
      <c r="A121" s="247" t="inlineStr">
        <is>
          <t>⚠ Valores marcados salmón en hoja B son REFERENCIALES (plazo 24 meses + tasas Chile 2026). Contratista debe ajustar a su estructura organizacional, plazo real y costo de personal específico.</t>
        </is>
      </c>
    </row>
  </sheetData>
  <mergeCells count="13">
    <mergeCell ref="A2:F2"/>
    <mergeCell ref="A107:F107"/>
    <mergeCell ref="A121:F121"/>
    <mergeCell ref="A28:F28"/>
    <mergeCell ref="A93:F93"/>
    <mergeCell ref="A1:F1"/>
    <mergeCell ref="A80:F80"/>
    <mergeCell ref="A61:F61"/>
    <mergeCell ref="A56:F56"/>
    <mergeCell ref="A4:F4"/>
    <mergeCell ref="A26:F26"/>
    <mergeCell ref="A39:F39"/>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Carmen Gloria Gonzalez</dc:creator>
  <dcterms:created xsi:type="dcterms:W3CDTF">2020-04-06T16:00:11Z</dcterms:created>
  <dcterms:modified xsi:type="dcterms:W3CDTF">2026-05-19T23:41:13Z</dcterms:modified>
  <cp:lastModifiedBy>Juan Bravo Messenger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0x0101001860A20C363EFE4091B7B39DE1B1FDF5</vt:lpwstr>
  </property>
  <property name="_dlc_DocIdItemGuid" fmtid="{D5CDD505-2E9C-101B-9397-08002B2CF9AE}" pid="3">
    <vt:lpwstr>ab3dab08-98de-4a90-b1b8-f2c8dcfb327a</vt:lpwstr>
  </property>
  <property name="TaxKeyword" fmtid="{D5CDD505-2E9C-101B-9397-08002B2CF9AE}" pid="4">
    <vt:lpwstr/>
  </property>
  <property name="MediaServiceImageTags" fmtid="{D5CDD505-2E9C-101B-9397-08002B2CF9AE}" pid="5">
    <vt:lpwstr/>
  </property>
  <property name="Proyecto" fmtid="{D5CDD505-2E9C-101B-9397-08002B2CF9AE}" pid="6">
    <vt:lpwstr/>
  </property>
  <property name="Nivel_x0020_1" fmtid="{D5CDD505-2E9C-101B-9397-08002B2CF9AE}" pid="7">
    <vt:lpwstr/>
  </property>
  <property name="Tipo_x0020_de_x0020_Documento" fmtid="{D5CDD505-2E9C-101B-9397-08002B2CF9AE}" pid="8">
    <vt:lpwstr/>
  </property>
  <property name="FDG" fmtid="{D5CDD505-2E9C-101B-9397-08002B2CF9AE}" pid="9">
    <vt:lpwstr/>
  </property>
  <property name="Nivel 1" fmtid="{D5CDD505-2E9C-101B-9397-08002B2CF9AE}" pid="10">
    <vt:lpwstr/>
  </property>
  <property name="Tipo de Documento" fmtid="{D5CDD505-2E9C-101B-9397-08002B2CF9AE}" pid="11">
    <vt:lpwstr/>
  </property>
</Properties>
</file>