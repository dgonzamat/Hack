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02:57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433002.0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433002.0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$ 13.036.212.000</t>
        </is>
      </c>
    </row>
    <row r="14">
      <c r="A14" s="2" t="inlineStr">
        <is>
          <t>GG + Utilidad (25%):</t>
        </is>
      </c>
      <c r="B14" t="inlineStr">
        <is>
          <t>$ 3.259.053.000</t>
        </is>
      </c>
    </row>
    <row r="15">
      <c r="A15" s="2" t="inlineStr">
        <is>
          <t>Subtotal + GG&amp;U:</t>
        </is>
      </c>
      <c r="B15" t="inlineStr">
        <is>
          <t>$ 16.295.265.000</t>
        </is>
      </c>
    </row>
    <row r="16">
      <c r="A16" s="2" t="inlineStr">
        <is>
          <t>IVA (19%):</t>
        </is>
      </c>
      <c r="B16" t="inlineStr">
        <is>
          <t>$ 3.096.100.350</t>
        </is>
      </c>
    </row>
    <row r="17">
      <c r="A17" s="3" t="inlineStr">
        <is>
          <t>TOTAL CON IVA:</t>
        </is>
      </c>
      <c r="B17" s="4" t="inlineStr">
        <is>
          <t>$ 19.391.365.350 CLP</t>
        </is>
      </c>
    </row>
    <row r="18">
      <c r="A18" s="2" t="inlineStr">
        <is>
          <t>Costo por m²:</t>
        </is>
      </c>
      <c r="B18" t="inlineStr">
        <is>
          <t>$ 44.783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Ruta 1</t>
        </is>
      </c>
      <c r="B2" t="inlineStr">
        <is>
          <t>ALCANTARILLA MARCO HORMIGON</t>
        </is>
      </c>
      <c r="C2" t="inlineStr">
        <is>
          <t>vial</t>
        </is>
      </c>
      <c r="D2" t="n">
        <v>1512</v>
      </c>
      <c r="E2" t="n">
        <v>158.75</v>
      </c>
      <c r="F2" t="n">
        <v>0.82</v>
      </c>
      <c r="G2" t="inlineStr">
        <is>
          <t>✓</t>
        </is>
      </c>
    </row>
    <row r="3">
      <c r="A3" t="inlineStr">
        <is>
          <t>Ruta 1</t>
        </is>
      </c>
      <c r="B3" t="inlineStr">
        <is>
          <t>CALZADA PRINCIPAL</t>
        </is>
      </c>
      <c r="C3" t="inlineStr">
        <is>
          <t>vial</t>
        </is>
      </c>
      <c r="D3" t="n">
        <v>195300</v>
      </c>
      <c r="E3" t="n">
        <v>42018.6</v>
      </c>
      <c r="F3" t="n">
        <v>0.92</v>
      </c>
      <c r="G3" t="inlineStr">
        <is>
          <t>✓</t>
        </is>
      </c>
    </row>
    <row r="4">
      <c r="A4" t="inlineStr">
        <is>
          <t>Ruta 1</t>
        </is>
      </c>
      <c r="B4" t="inlineStr">
        <is>
          <t>COLECTOR PVC DRENAJE LONGITUDINAL</t>
        </is>
      </c>
      <c r="C4" t="inlineStr">
        <is>
          <t>vial</t>
        </is>
      </c>
      <c r="D4" t="n">
        <v>6720</v>
      </c>
      <c r="E4" t="n">
        <v>334.66</v>
      </c>
      <c r="F4" t="n">
        <v>0.8</v>
      </c>
      <c r="G4" t="inlineStr">
        <is>
          <t>✓</t>
        </is>
      </c>
    </row>
    <row r="5">
      <c r="A5" t="inlineStr">
        <is>
          <t>Ruta 1</t>
        </is>
      </c>
      <c r="B5" t="inlineStr">
        <is>
          <t>CUNETA REVESTIDA HORMIGON</t>
        </is>
      </c>
      <c r="C5" t="inlineStr">
        <is>
          <t>vial</t>
        </is>
      </c>
      <c r="D5" t="n">
        <v>25200</v>
      </c>
      <c r="E5" t="n">
        <v>648.0700000000001</v>
      </c>
      <c r="F5" t="n">
        <v>0.88</v>
      </c>
      <c r="G5" t="inlineStr">
        <is>
          <t>✓</t>
        </is>
      </c>
    </row>
    <row r="6">
      <c r="A6" t="inlineStr">
        <is>
          <t>Ruta 1</t>
        </is>
      </c>
      <c r="B6" t="inlineStr">
        <is>
          <t>DEMARCACION VIAL CALZADA</t>
        </is>
      </c>
      <c r="C6" t="inlineStr">
        <is>
          <t>vial</t>
        </is>
      </c>
      <c r="D6" t="n">
        <v>50400</v>
      </c>
      <c r="E6" t="n">
        <v>916.52</v>
      </c>
      <c r="F6" t="n">
        <v>0.9</v>
      </c>
      <c r="G6" t="inlineStr">
        <is>
          <t>✓</t>
        </is>
      </c>
    </row>
    <row r="7">
      <c r="A7" t="inlineStr">
        <is>
          <t>Ruta 1</t>
        </is>
      </c>
      <c r="B7" t="inlineStr">
        <is>
          <t>GUARDAVIA FLEXIBLE W KM0-KM21</t>
        </is>
      </c>
      <c r="C7" t="inlineStr">
        <is>
          <t>vial</t>
        </is>
      </c>
      <c r="D7" t="n">
        <v>4200</v>
      </c>
      <c r="E7" t="n">
        <v>264.58</v>
      </c>
      <c r="F7" t="n">
        <v>0.85</v>
      </c>
      <c r="G7" t="inlineStr">
        <is>
          <t>✓</t>
        </is>
      </c>
    </row>
    <row r="8">
      <c r="A8" t="inlineStr">
        <is>
          <t>Ruta 1</t>
        </is>
      </c>
      <c r="B8" t="inlineStr">
        <is>
          <t>ILUMINACION VIAL RUTA 1</t>
        </is>
      </c>
      <c r="C8" t="inlineStr">
        <is>
          <t>vial</t>
        </is>
      </c>
      <c r="D8" t="n">
        <v>4200</v>
      </c>
      <c r="E8" t="n">
        <v>264.58</v>
      </c>
      <c r="F8" t="n">
        <v>0.85</v>
      </c>
      <c r="G8" t="inlineStr">
        <is>
          <t>✓</t>
        </is>
      </c>
    </row>
    <row r="9">
      <c r="A9" t="inlineStr">
        <is>
          <t>Ruta 1</t>
        </is>
      </c>
      <c r="B9" t="inlineStr">
        <is>
          <t>MIRADOR CALZADA KM210</t>
        </is>
      </c>
      <c r="C9" t="inlineStr">
        <is>
          <t>vial</t>
        </is>
      </c>
      <c r="D9" t="n">
        <v>480</v>
      </c>
      <c r="E9" t="n">
        <v>89.44</v>
      </c>
      <c r="F9" t="n">
        <v>0.75</v>
      </c>
      <c r="G9" t="inlineStr">
        <is>
          <t>✓</t>
        </is>
      </c>
    </row>
    <row r="10">
      <c r="A10" t="inlineStr">
        <is>
          <t>Ruta 1</t>
        </is>
      </c>
      <c r="B10" t="inlineStr">
        <is>
          <t>MIRADOR CALZADA KM213</t>
        </is>
      </c>
      <c r="C10" t="inlineStr">
        <is>
          <t>vial</t>
        </is>
      </c>
      <c r="D10" t="n">
        <v>480</v>
      </c>
      <c r="E10" t="n">
        <v>89.44</v>
      </c>
      <c r="F10" t="n">
        <v>0.75</v>
      </c>
      <c r="G10" t="inlineStr">
        <is>
          <t>✓</t>
        </is>
      </c>
    </row>
    <row r="11">
      <c r="A11" t="inlineStr">
        <is>
          <t>Ruta 1</t>
        </is>
      </c>
      <c r="B11" t="inlineStr">
        <is>
          <t>MURO DE CONTENCION HORMIGON</t>
        </is>
      </c>
      <c r="C11" t="inlineStr">
        <is>
          <t>vial</t>
        </is>
      </c>
      <c r="D11" t="n">
        <v>4500</v>
      </c>
      <c r="E11" t="n">
        <v>273.86</v>
      </c>
      <c r="F11" t="n">
        <v>0.85</v>
      </c>
      <c r="G11" t="inlineStr">
        <is>
          <t>✓</t>
        </is>
      </c>
    </row>
    <row r="12">
      <c r="A12" t="inlineStr">
        <is>
          <t>Ruta 1</t>
        </is>
      </c>
      <c r="B12" t="inlineStr">
        <is>
          <t>REVEGETACION TALUDES</t>
        </is>
      </c>
      <c r="C12" t="inlineStr">
        <is>
          <t>vial</t>
        </is>
      </c>
      <c r="D12" t="n">
        <v>37800</v>
      </c>
      <c r="E12" t="n">
        <v>793.73</v>
      </c>
      <c r="F12" t="n">
        <v>0.78</v>
      </c>
      <c r="G12" t="inlineStr">
        <is>
          <t>✓</t>
        </is>
      </c>
    </row>
    <row r="13">
      <c r="A13" t="inlineStr">
        <is>
          <t>Ruta 1</t>
        </is>
      </c>
      <c r="B13" t="inlineStr">
        <is>
          <t>SENALETIVA VERTICAL KM0-KM21</t>
        </is>
      </c>
      <c r="C13" t="inlineStr">
        <is>
          <t>vial</t>
        </is>
      </c>
      <c r="D13" t="n">
        <v>840</v>
      </c>
      <c r="E13" t="n">
        <v>118.32</v>
      </c>
      <c r="F13" t="n">
        <v>0.85</v>
      </c>
      <c r="G13" t="inlineStr">
        <is>
          <t>✓</t>
        </is>
      </c>
    </row>
    <row r="14">
      <c r="A14" t="inlineStr">
        <is>
          <t>Ruta 1</t>
        </is>
      </c>
      <c r="B14" t="inlineStr">
        <is>
          <t>SOBREANCHO CURVAS PISTA</t>
        </is>
      </c>
      <c r="C14" t="inlineStr">
        <is>
          <t>vial</t>
        </is>
      </c>
      <c r="D14" t="n">
        <v>2100</v>
      </c>
      <c r="E14" t="n">
        <v>187.08</v>
      </c>
      <c r="F14" t="n">
        <v>0.8</v>
      </c>
      <c r="G14" t="inlineStr">
        <is>
          <t>✓</t>
        </is>
      </c>
    </row>
    <row r="15">
      <c r="A15" t="inlineStr">
        <is>
          <t>Ruta 1</t>
        </is>
      </c>
      <c r="B15" t="inlineStr">
        <is>
          <t>TERRAPLEN COMPACTADO</t>
        </is>
      </c>
      <c r="C15" t="inlineStr">
        <is>
          <t>vial</t>
        </is>
      </c>
      <c r="D15" t="n">
        <v>97650</v>
      </c>
      <c r="E15" t="n">
        <v>1275.74</v>
      </c>
      <c r="F15" t="n">
        <v>0.8</v>
      </c>
      <c r="G15" t="inlineStr">
        <is>
          <t>✓</t>
        </is>
      </c>
    </row>
    <row r="16">
      <c r="A16" t="inlineStr">
        <is>
          <t>Ruta 1</t>
        </is>
      </c>
      <c r="B16" t="inlineStr">
        <is>
          <t>TUNEL GALLEGUILLOS</t>
        </is>
      </c>
      <c r="C16" t="inlineStr">
        <is>
          <t>vial</t>
        </is>
      </c>
      <c r="D16" t="n">
        <v>1620</v>
      </c>
      <c r="E16" t="n">
        <v>378</v>
      </c>
      <c r="F16" t="n">
        <v>0.9</v>
      </c>
      <c r="G16" t="inlineStr">
        <is>
          <t>✓</t>
        </is>
      </c>
    </row>
    <row r="17">
      <c r="A17" s="3" t="inlineStr">
        <is>
          <t>Subtotal Ruta 1</t>
        </is>
      </c>
      <c r="D17" s="3" t="n">
        <v>433002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197400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197400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197400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subrasante_estabilizada</t>
        </is>
      </c>
      <c r="B7" t="inlineStr">
        <is>
          <t>Subrasante estabilizada e=150mm</t>
        </is>
      </c>
      <c r="C7" t="inlineStr">
        <is>
          <t>m2</t>
        </is>
      </c>
      <c r="D7" t="n">
        <v>197400</v>
      </c>
      <c r="E7" t="n">
        <v>4500</v>
      </c>
      <c r="F7">
        <f>D7*E7</f>
        <v/>
      </c>
      <c r="G7" t="inlineStr">
        <is>
          <t>ONDAC 2026Q1</t>
        </is>
      </c>
    </row>
    <row r="8">
      <c r="A8" t="inlineStr">
        <is>
          <t>excavacion_tierra_comun</t>
        </is>
      </c>
      <c r="B8" t="inlineStr">
        <is>
          <t>Excavacion tierra comun</t>
        </is>
      </c>
      <c r="C8" t="inlineStr">
        <is>
          <t>m3</t>
        </is>
      </c>
      <c r="D8" t="n">
        <v>120414</v>
      </c>
      <c r="E8" t="n">
        <v>8000</v>
      </c>
      <c r="F8">
        <f>D8*E8</f>
        <v/>
      </c>
      <c r="G8" t="inlineStr">
        <is>
          <t>ONDAC 2026Q1</t>
        </is>
      </c>
    </row>
    <row r="9">
      <c r="A9" t="inlineStr">
        <is>
          <t>cuneta_hormigon_revestida</t>
        </is>
      </c>
      <c r="B9" t="inlineStr">
        <is>
          <t>Cuneta hormigon revestida a=0.60m</t>
        </is>
      </c>
      <c r="C9" t="inlineStr">
        <is>
          <t>ml</t>
        </is>
      </c>
      <c r="D9" t="n">
        <v>42000</v>
      </c>
      <c r="E9" t="n">
        <v>45000</v>
      </c>
      <c r="F9">
        <f>D9*E9</f>
        <v/>
      </c>
      <c r="G9" t="inlineStr">
        <is>
          <t>ONDAC 2026Q1</t>
        </is>
      </c>
    </row>
    <row r="10">
      <c r="A10" t="inlineStr">
        <is>
          <t>excavacion_tunel_roca</t>
        </is>
      </c>
      <c r="B10" t="inlineStr">
        <is>
          <t>Excavacion tunel 9.0×6.0 m</t>
        </is>
      </c>
      <c r="C10" t="inlineStr">
        <is>
          <t>m3</t>
        </is>
      </c>
      <c r="D10" t="n">
        <v>9720</v>
      </c>
      <c r="E10" t="n">
        <v>85000</v>
      </c>
      <c r="F10">
        <f>D10*E10</f>
        <v/>
      </c>
      <c r="G10" t="inlineStr">
        <is>
          <t>ONDAC 2026Q1</t>
        </is>
      </c>
    </row>
    <row r="11">
      <c r="A11" t="inlineStr">
        <is>
          <t>revestimiento_tunel_hormigon</t>
        </is>
      </c>
      <c r="B11" t="inlineStr">
        <is>
          <t>Revestimiento tunel hormigon e=45cm</t>
        </is>
      </c>
      <c r="C11" t="inlineStr">
        <is>
          <t>m2</t>
        </is>
      </c>
      <c r="D11" t="n">
        <v>5400</v>
      </c>
      <c r="E11" t="n">
        <v>120000</v>
      </c>
      <c r="F11">
        <f>D11*E11</f>
        <v/>
      </c>
      <c r="G11" t="inlineStr">
        <is>
          <t>ONDAC 2026Q1</t>
        </is>
      </c>
    </row>
    <row r="12">
      <c r="A12" t="inlineStr">
        <is>
          <t>acero_refuerzo_a630</t>
        </is>
      </c>
      <c r="B12" t="inlineStr">
        <is>
          <t>Acero refuerzo A630-42H</t>
        </is>
      </c>
      <c r="C12" t="inlineStr">
        <is>
          <t>kg</t>
        </is>
      </c>
      <c r="D12" t="n">
        <v>206550</v>
      </c>
      <c r="E12" t="n">
        <v>1200</v>
      </c>
      <c r="F12">
        <f>D12*E12</f>
        <v/>
      </c>
      <c r="G12" t="inlineStr">
        <is>
          <t>ONDAC 2026Q1</t>
        </is>
      </c>
    </row>
    <row r="13">
      <c r="A13" t="inlineStr">
        <is>
          <t>muro_contencion_hormigon</t>
        </is>
      </c>
      <c r="B13" t="inlineStr">
        <is>
          <t>Muro de contencion hormigon (all-inclusive)</t>
        </is>
      </c>
      <c r="C13" t="inlineStr">
        <is>
          <t>m2</t>
        </is>
      </c>
      <c r="D13" t="n">
        <v>4500</v>
      </c>
      <c r="E13" t="n">
        <v>95000</v>
      </c>
      <c r="F13">
        <f>D13*E13</f>
        <v/>
      </c>
      <c r="G13" t="inlineStr">
        <is>
          <t>ONDAC 2026Q1</t>
        </is>
      </c>
    </row>
    <row r="14">
      <c r="A14" t="inlineStr">
        <is>
          <t>demarcacion_vial_termoplastico</t>
        </is>
      </c>
      <c r="B14" t="inlineStr">
        <is>
          <t>Demarcacion vial termoplastico</t>
        </is>
      </c>
      <c r="C14" t="inlineStr">
        <is>
          <t>m2</t>
        </is>
      </c>
      <c r="D14" t="n">
        <v>50400</v>
      </c>
      <c r="E14" t="n">
        <v>8000</v>
      </c>
      <c r="F14">
        <f>D14*E14</f>
        <v/>
      </c>
      <c r="G14" t="inlineStr">
        <is>
          <t>ONDAC 2026Q1</t>
        </is>
      </c>
    </row>
    <row r="15">
      <c r="A15" t="inlineStr">
        <is>
          <t>senal_vial_retrorreflectante</t>
        </is>
      </c>
      <c r="B15" t="inlineStr">
        <is>
          <t>Senal vial retroreflectante (1.5m²/señal)</t>
        </is>
      </c>
      <c r="C15" t="inlineStr">
        <is>
          <t>un</t>
        </is>
      </c>
      <c r="D15" t="n">
        <v>560</v>
      </c>
      <c r="E15" t="n">
        <v>180000</v>
      </c>
      <c r="F15">
        <f>D15*E15</f>
        <v/>
      </c>
      <c r="G15" t="inlineStr">
        <is>
          <t>ONDAC 2026Q1</t>
        </is>
      </c>
    </row>
    <row r="16">
      <c r="A16" t="inlineStr">
        <is>
          <t>luminaria_led_vial</t>
        </is>
      </c>
      <c r="B16" t="inlineStr">
        <is>
          <t>Luminaria LED vial (poste + luminaria + instalacion)</t>
        </is>
      </c>
      <c r="C16" t="inlineStr">
        <is>
          <t>un</t>
        </is>
      </c>
      <c r="D16" t="n">
        <v>1050</v>
      </c>
      <c r="E16" t="n">
        <v>480000</v>
      </c>
      <c r="F16">
        <f>D16*E16</f>
        <v/>
      </c>
      <c r="G16" t="inlineStr">
        <is>
          <t>ONDAC 2026Q1</t>
        </is>
      </c>
    </row>
    <row r="17">
      <c r="A17" t="inlineStr">
        <is>
          <t>guardavia_flexible_w</t>
        </is>
      </c>
      <c r="B17" t="inlineStr">
        <is>
          <t>Guardavia flexible W-beam doble ola</t>
        </is>
      </c>
      <c r="C17" t="inlineStr">
        <is>
          <t>ml</t>
        </is>
      </c>
      <c r="D17" t="n">
        <v>8400</v>
      </c>
      <c r="E17" t="n">
        <v>32000</v>
      </c>
      <c r="F17">
        <f>D17*E17</f>
        <v/>
      </c>
      <c r="G17" t="inlineStr">
        <is>
          <t>ONDAC 2026Q1</t>
        </is>
      </c>
    </row>
    <row r="18">
      <c r="A18" t="inlineStr">
        <is>
          <t>terraplen_compactado</t>
        </is>
      </c>
      <c r="B18" t="inlineStr">
        <is>
          <t>Terraplen compactado h_media=1.8m</t>
        </is>
      </c>
      <c r="C18" t="inlineStr">
        <is>
          <t>m3</t>
        </is>
      </c>
      <c r="D18" t="n">
        <v>175770</v>
      </c>
      <c r="E18" t="n">
        <v>6000</v>
      </c>
      <c r="F18">
        <f>D18*E18</f>
        <v/>
      </c>
      <c r="G18" t="inlineStr">
        <is>
          <t>ONDAC 2026Q1</t>
        </is>
      </c>
    </row>
    <row r="19">
      <c r="A19" t="inlineStr">
        <is>
          <t>alcantarilla_marco_hormigon</t>
        </is>
      </c>
      <c r="B19" t="inlineStr">
        <is>
          <t>Alcantarilla marco hormigon a=1.5m</t>
        </is>
      </c>
      <c r="C19" t="inlineStr">
        <is>
          <t>ml</t>
        </is>
      </c>
      <c r="D19" t="n">
        <v>1008</v>
      </c>
      <c r="E19" t="n">
        <v>450000</v>
      </c>
      <c r="F19">
        <f>D19*E19</f>
        <v/>
      </c>
      <c r="G19" t="inlineStr">
        <is>
          <t>ONDAC 2026Q1</t>
        </is>
      </c>
    </row>
    <row r="20">
      <c r="A20" t="inlineStr">
        <is>
          <t>revegetacion_hidrosiembra</t>
        </is>
      </c>
      <c r="B20" t="inlineStr">
        <is>
          <t>Revegetacion hidrosiembra taludes</t>
        </is>
      </c>
      <c r="C20" t="inlineStr">
        <is>
          <t>m2</t>
        </is>
      </c>
      <c r="D20" t="n">
        <v>37800</v>
      </c>
      <c r="E20" t="n">
        <v>3500</v>
      </c>
      <c r="F20">
        <f>D20*E20</f>
        <v/>
      </c>
      <c r="G20" t="inlineStr">
        <is>
          <t>ONDAC 2026Q1</t>
        </is>
      </c>
    </row>
    <row r="21">
      <c r="A21" t="inlineStr">
        <is>
          <t>colector_pvc_300mm</t>
        </is>
      </c>
      <c r="B21" t="inlineStr">
        <is>
          <t>Colector PVC 300mm (0.80m zanja)</t>
        </is>
      </c>
      <c r="C21" t="inlineStr">
        <is>
          <t>ml</t>
        </is>
      </c>
      <c r="D21" t="n">
        <v>8400</v>
      </c>
      <c r="E21" t="n">
        <v>85000</v>
      </c>
      <c r="F21">
        <f>D21*E21</f>
        <v/>
      </c>
      <c r="G21" t="inlineStr">
        <is>
          <t>ONDAC 2026Q1</t>
        </is>
      </c>
    </row>
    <row r="23">
      <c r="B23" s="3" t="inlineStr">
        <is>
          <t>SUBTOTAL NETO</t>
        </is>
      </c>
      <c r="F23" s="3">
        <f>SUM(F2:F21)</f>
        <v/>
      </c>
    </row>
    <row r="24">
      <c r="B24" t="inlineStr">
        <is>
          <t>GG + Utilidad (25%)</t>
        </is>
      </c>
      <c r="F24">
        <f>F23*0.25</f>
        <v/>
      </c>
    </row>
    <row r="25">
      <c r="B25" s="3" t="inlineStr">
        <is>
          <t>SUBTOTAL + GG&amp;U</t>
        </is>
      </c>
      <c r="F25" s="3">
        <f>F23+F24</f>
        <v/>
      </c>
    </row>
    <row r="26">
      <c r="B26" t="inlineStr">
        <is>
          <t>IVA (19%)</t>
        </is>
      </c>
      <c r="F26">
        <f>F25*0.19</f>
        <v/>
      </c>
    </row>
    <row r="27">
      <c r="B27" s="8" t="inlineStr">
        <is>
          <t>TOTAL CON IVA</t>
        </is>
      </c>
      <c r="F27" s="4">
        <f>F25+F26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4200</v>
      </c>
    </row>
    <row r="11">
      <c r="A11" t="inlineStr">
        <is>
          <t>Tokens salida:</t>
        </is>
      </c>
      <c r="B11" t="n">
        <v>380</v>
      </c>
    </row>
    <row r="12">
      <c r="A12" t="inlineStr">
        <is>
          <t>Costo API USD:</t>
        </is>
      </c>
      <c r="B12" t="inlineStr">
        <is>
          <t>$0.0915</t>
        </is>
      </c>
    </row>
    <row r="17">
      <c r="A17" s="8" t="inlineStr">
        <is>
          <t>RECINTOS CON CLASIFICACION HEURISTICA</t>
        </is>
      </c>
    </row>
    <row r="18">
      <c r="A18" s="5" t="inlineStr">
        <is>
          <t>Nombre</t>
        </is>
      </c>
      <c r="B18" s="5" t="inlineStr">
        <is>
          <t>Categoria asignada</t>
        </is>
      </c>
    </row>
    <row r="19">
      <c r="A19" t="inlineStr">
        <is>
          <t>GUARDAVIA FLEXIBLE W KM0-KM21</t>
        </is>
      </c>
      <c r="B19" t="inlineStr">
        <is>
          <t>vial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2026-05-18T02:57:31Z</dcterms:created>
  <dcterms:modified xsi:type="dcterms:W3CDTF">2026-05-18T02:57:31Z</dcterms:modified>
</cp:coreProperties>
</file>